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pivotButton="0" quotePrefix="0" xfId="0"/>
    <xf numFmtId="0" fontId="0" fillId="4" borderId="0" pivotButton="0" quotePrefix="0" xfId="0"/>
    <xf numFmtId="0" fontId="0" fillId="5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Аудит</t>
        </is>
      </c>
      <c r="B3" t="inlineStr">
        <is>
          <t>20201</t>
        </is>
      </c>
      <c r="C3" t="n">
        <v>0</v>
      </c>
      <c r="D3" t="n">
        <v>0</v>
      </c>
      <c r="E3" t="n">
        <v>0</v>
      </c>
      <c r="F3" t="n">
        <v>0</v>
      </c>
      <c r="G3" s="6" t="inlineStr"/>
    </row>
    <row r="4">
      <c r="A4" t="inlineStr">
        <is>
          <t>Банковские комиссии</t>
        </is>
      </c>
      <c r="B4" t="inlineStr">
        <is>
          <t>20202</t>
        </is>
      </c>
      <c r="C4" t="n">
        <v>5000</v>
      </c>
      <c r="D4" t="n">
        <v>4517</v>
      </c>
      <c r="E4" t="n">
        <v>-483</v>
      </c>
      <c r="F4" t="n">
        <v>-9.699999999999999</v>
      </c>
      <c r="G4" s="6" t="inlineStr"/>
    </row>
    <row r="5">
      <c r="A5" t="inlineStr">
        <is>
          <t>Консультационные расходы</t>
        </is>
      </c>
      <c r="B5" t="inlineStr">
        <is>
          <t>20203</t>
        </is>
      </c>
      <c r="C5" t="n">
        <v>15000</v>
      </c>
      <c r="D5" t="n">
        <v>16095</v>
      </c>
      <c r="E5" t="n">
        <v>1095</v>
      </c>
      <c r="F5" t="n">
        <v>7.3</v>
      </c>
      <c r="G5" s="6" t="inlineStr"/>
    </row>
    <row r="6">
      <c r="A6" t="inlineStr">
        <is>
          <t>Налоги на имущество</t>
        </is>
      </c>
      <c r="B6" t="inlineStr">
        <is>
          <t>20205</t>
        </is>
      </c>
      <c r="C6" t="n">
        <v>25000</v>
      </c>
      <c r="D6" t="n">
        <v>27258</v>
      </c>
      <c r="E6" t="n">
        <v>2258</v>
      </c>
      <c r="F6" t="n">
        <v>9</v>
      </c>
      <c r="G6" s="6" t="inlineStr"/>
    </row>
    <row r="7">
      <c r="A7" t="inlineStr">
        <is>
          <t>Экологический сбор</t>
        </is>
      </c>
      <c r="B7" t="inlineStr">
        <is>
          <t>20206</t>
        </is>
      </c>
      <c r="C7" t="n">
        <v>3000</v>
      </c>
      <c r="D7" t="n">
        <v>2801</v>
      </c>
      <c r="E7" t="n">
        <v>-199</v>
      </c>
      <c r="F7" t="n">
        <v>-6.6</v>
      </c>
      <c r="G7" s="6" t="inlineStr"/>
    </row>
    <row r="8">
      <c r="A8" t="inlineStr">
        <is>
          <t>Налог на утилизацию</t>
        </is>
      </c>
      <c r="B8" t="inlineStr">
        <is>
          <t>20207</t>
        </is>
      </c>
      <c r="C8" t="n">
        <v>4000</v>
      </c>
      <c r="D8" t="n">
        <v>3707</v>
      </c>
      <c r="E8" t="n">
        <v>-293</v>
      </c>
      <c r="F8" t="n">
        <v>-7.3</v>
      </c>
      <c r="G8" s="6" t="inlineStr"/>
    </row>
    <row r="9">
      <c r="A9" t="inlineStr">
        <is>
          <t>Возмещение налогов</t>
        </is>
      </c>
      <c r="B9" t="inlineStr">
        <is>
          <t>20208</t>
        </is>
      </c>
      <c r="C9" t="n">
        <v>-5000</v>
      </c>
      <c r="D9" t="n">
        <v>-5341</v>
      </c>
      <c r="E9" t="n">
        <v>-341</v>
      </c>
      <c r="F9" t="n">
        <v>6.8</v>
      </c>
      <c r="G9" s="6" t="inlineStr"/>
    </row>
    <row r="10">
      <c r="A10" t="inlineStr">
        <is>
          <t>Прочие сборы</t>
        </is>
      </c>
      <c r="B10" t="inlineStr">
        <is>
          <t>20209</t>
        </is>
      </c>
      <c r="C10" t="n">
        <v>2000</v>
      </c>
      <c r="D10" t="n">
        <v>2286</v>
      </c>
      <c r="E10" t="n">
        <v>286</v>
      </c>
      <c r="F10" s="7" t="n">
        <v>14.3</v>
      </c>
      <c r="G10" s="6" t="inlineStr"/>
    </row>
    <row r="11">
      <c r="A11" t="inlineStr">
        <is>
          <t>Аренда оборудования</t>
        </is>
      </c>
      <c r="B11" t="inlineStr">
        <is>
          <t>20401</t>
        </is>
      </c>
      <c r="C11" t="n">
        <v>25000</v>
      </c>
      <c r="D11" t="n">
        <v>0</v>
      </c>
      <c r="E11" t="n">
        <v>-25000</v>
      </c>
      <c r="F11" s="8" t="n">
        <v>-100</v>
      </c>
      <c r="G11" s="6" t="inlineStr"/>
    </row>
    <row r="12">
      <c r="A12" t="inlineStr">
        <is>
          <t>Аренда земли</t>
        </is>
      </c>
      <c r="B12" t="inlineStr">
        <is>
          <t>20402</t>
        </is>
      </c>
      <c r="C12" t="n">
        <v>15000</v>
      </c>
      <c r="D12" t="n">
        <v>16403</v>
      </c>
      <c r="E12" t="n">
        <v>1403</v>
      </c>
      <c r="F12" t="n">
        <v>9.4</v>
      </c>
      <c r="G12" s="6" t="inlineStr"/>
    </row>
    <row r="13">
      <c r="A13" t="inlineStr">
        <is>
          <t>Аренда зданий</t>
        </is>
      </c>
      <c r="B13" t="inlineStr">
        <is>
          <t>20403</t>
        </is>
      </c>
      <c r="C13" t="n">
        <v>120000</v>
      </c>
      <c r="D13" t="n">
        <v>116955</v>
      </c>
      <c r="E13" t="n">
        <v>-3045</v>
      </c>
      <c r="F13" t="n">
        <v>-2.5</v>
      </c>
      <c r="G13" s="6" t="inlineStr"/>
    </row>
    <row r="14">
      <c r="A14" t="inlineStr">
        <is>
          <t>Аренда автотранспорта</t>
        </is>
      </c>
      <c r="B14" t="inlineStr">
        <is>
          <t>20404</t>
        </is>
      </c>
      <c r="C14" t="n">
        <v>35000</v>
      </c>
      <c r="D14" t="n">
        <v>35950</v>
      </c>
      <c r="E14" t="n">
        <v>950</v>
      </c>
      <c r="F14" t="n">
        <v>2.7</v>
      </c>
      <c r="G14" s="6" t="inlineStr"/>
    </row>
    <row r="15">
      <c r="A15" t="inlineStr">
        <is>
          <t>Лизинг</t>
        </is>
      </c>
      <c r="B15" t="inlineStr">
        <is>
          <t>20405</t>
        </is>
      </c>
      <c r="C15" t="n">
        <v>45000</v>
      </c>
      <c r="D15" t="n">
        <v>43614</v>
      </c>
      <c r="E15" t="n">
        <v>-1386</v>
      </c>
      <c r="F15" t="n">
        <v>-3.1</v>
      </c>
      <c r="G15" s="6" t="inlineStr"/>
    </row>
    <row r="16">
      <c r="A16" t="inlineStr">
        <is>
          <t>Внешние юридические консультанты</t>
        </is>
      </c>
      <c r="B16" t="inlineStr">
        <is>
          <t>20501</t>
        </is>
      </c>
      <c r="C16" t="n">
        <v>25000</v>
      </c>
      <c r="D16" t="n">
        <v>27080</v>
      </c>
      <c r="E16" t="n">
        <v>2080</v>
      </c>
      <c r="F16" t="n">
        <v>8.300000000000001</v>
      </c>
      <c r="G16" s="6" t="inlineStr"/>
    </row>
    <row r="17">
      <c r="A17" t="inlineStr">
        <is>
          <t>Амортизация зданий</t>
        </is>
      </c>
      <c r="B17" t="inlineStr">
        <is>
          <t>21101</t>
        </is>
      </c>
      <c r="C17" t="n">
        <v>80000</v>
      </c>
      <c r="D17" t="n">
        <v>75481</v>
      </c>
      <c r="E17" t="n">
        <v>-4519</v>
      </c>
      <c r="F17" t="n">
        <v>-5.6</v>
      </c>
      <c r="G17" s="6" t="inlineStr"/>
    </row>
    <row r="18">
      <c r="A18" t="inlineStr">
        <is>
          <t>Амортизация НМА</t>
        </is>
      </c>
      <c r="B18" t="inlineStr">
        <is>
          <t>21102</t>
        </is>
      </c>
      <c r="C18" t="n">
        <v>20000</v>
      </c>
      <c r="D18" t="n">
        <v>21472</v>
      </c>
      <c r="E18" t="n">
        <v>1472</v>
      </c>
      <c r="F18" t="n">
        <v>7.4</v>
      </c>
      <c r="G18" s="6" t="inlineStr"/>
    </row>
    <row r="19">
      <c r="A19" t="inlineStr">
        <is>
          <t>Амортизация оборудования</t>
        </is>
      </c>
      <c r="B19" t="inlineStr">
        <is>
          <t>21103</t>
        </is>
      </c>
      <c r="C19" t="n">
        <v>60000</v>
      </c>
      <c r="D19" t="n">
        <v>68656</v>
      </c>
      <c r="E19" t="n">
        <v>8656</v>
      </c>
      <c r="F19" s="7" t="n">
        <v>14.4</v>
      </c>
      <c r="G19" s="6" t="inlineStr"/>
    </row>
    <row r="20">
      <c r="A20" t="inlineStr">
        <is>
          <t>Амортизация компьютерного оборудования и ПО</t>
        </is>
      </c>
      <c r="B20" t="inlineStr">
        <is>
          <t>21104</t>
        </is>
      </c>
      <c r="C20" t="n">
        <v>15000</v>
      </c>
      <c r="D20" t="n">
        <v>15952</v>
      </c>
      <c r="E20" t="n">
        <v>952</v>
      </c>
      <c r="F20" t="n">
        <v>6.3</v>
      </c>
      <c r="G20" s="6" t="inlineStr"/>
    </row>
    <row r="21">
      <c r="A21" t="inlineStr">
        <is>
          <t>Амортизация транспорта</t>
        </is>
      </c>
      <c r="B21" t="inlineStr">
        <is>
          <t>21105</t>
        </is>
      </c>
      <c r="C21" t="n">
        <v>25000</v>
      </c>
      <c r="D21" t="n">
        <v>22197</v>
      </c>
      <c r="E21" t="n">
        <v>-2803</v>
      </c>
      <c r="F21" s="8" t="n">
        <v>-11.2</v>
      </c>
      <c r="G21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9" t="inlineStr">
        <is>
          <t>апрель</t>
        </is>
      </c>
      <c r="D2" s="9" t="inlineStr">
        <is>
          <t>май</t>
        </is>
      </c>
      <c r="E2" s="9" t="inlineStr">
        <is>
          <t>июнь</t>
        </is>
      </c>
      <c r="F2" s="9" t="inlineStr">
        <is>
          <t>июль</t>
        </is>
      </c>
      <c r="G2" s="9" t="inlineStr">
        <is>
          <t>август</t>
        </is>
      </c>
      <c r="H2" s="9" t="inlineStr">
        <is>
          <t>сентябрь</t>
        </is>
      </c>
      <c r="I2" s="9" t="inlineStr">
        <is>
          <t>октябрь</t>
        </is>
      </c>
      <c r="J2" s="9" t="inlineStr">
        <is>
          <t>ноябрь</t>
        </is>
      </c>
      <c r="K2" s="9" t="inlineStr">
        <is>
          <t>декабрь</t>
        </is>
      </c>
      <c r="L2" s="9" t="inlineStr">
        <is>
          <t>Причина изменения прогноза</t>
        </is>
      </c>
    </row>
    <row r="3">
      <c r="A3" t="inlineStr">
        <is>
          <t>Аудит</t>
        </is>
      </c>
      <c r="B3" t="inlineStr">
        <is>
          <t>20201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800000</v>
      </c>
      <c r="K3" s="9" t="n">
        <v>0</v>
      </c>
      <c r="L3" s="9" t="inlineStr"/>
    </row>
    <row r="4">
      <c r="A4" t="inlineStr">
        <is>
          <t>Банковские комиссии</t>
        </is>
      </c>
      <c r="B4" t="inlineStr">
        <is>
          <t>20202</t>
        </is>
      </c>
      <c r="C4" s="9" t="n">
        <v>5000</v>
      </c>
      <c r="D4" s="9" t="n">
        <v>5000</v>
      </c>
      <c r="E4" s="9" t="n">
        <v>5000</v>
      </c>
      <c r="F4" s="9" t="n">
        <v>5000</v>
      </c>
      <c r="G4" s="9" t="n">
        <v>5000</v>
      </c>
      <c r="H4" s="9" t="n">
        <v>5000</v>
      </c>
      <c r="I4" s="9" t="n">
        <v>5000</v>
      </c>
      <c r="J4" s="9" t="n">
        <v>5000</v>
      </c>
      <c r="K4" s="9" t="n">
        <v>5000</v>
      </c>
      <c r="L4" s="9" t="inlineStr"/>
    </row>
    <row r="5">
      <c r="A5" t="inlineStr">
        <is>
          <t>Консультационные расходы</t>
        </is>
      </c>
      <c r="B5" t="inlineStr">
        <is>
          <t>20203</t>
        </is>
      </c>
      <c r="C5" s="9" t="n">
        <v>15000</v>
      </c>
      <c r="D5" s="9" t="n">
        <v>15000</v>
      </c>
      <c r="E5" s="9" t="n">
        <v>15000</v>
      </c>
      <c r="F5" s="9" t="n">
        <v>15000</v>
      </c>
      <c r="G5" s="9" t="n">
        <v>15000</v>
      </c>
      <c r="H5" s="9" t="n">
        <v>15000</v>
      </c>
      <c r="I5" s="9" t="n">
        <v>15000</v>
      </c>
      <c r="J5" s="9" t="n">
        <v>15000</v>
      </c>
      <c r="K5" s="9" t="n">
        <v>15000</v>
      </c>
      <c r="L5" s="9" t="inlineStr"/>
    </row>
    <row r="6">
      <c r="A6" t="inlineStr">
        <is>
          <t>Налоги на имущество</t>
        </is>
      </c>
      <c r="B6" t="inlineStr">
        <is>
          <t>20205</t>
        </is>
      </c>
      <c r="C6" s="9" t="n">
        <v>25000</v>
      </c>
      <c r="D6" s="9" t="n">
        <v>25000</v>
      </c>
      <c r="E6" s="9" t="n">
        <v>25000</v>
      </c>
      <c r="F6" s="9" t="n">
        <v>25000</v>
      </c>
      <c r="G6" s="9" t="n">
        <v>25000</v>
      </c>
      <c r="H6" s="9" t="n">
        <v>25000</v>
      </c>
      <c r="I6" s="9" t="n">
        <v>25000</v>
      </c>
      <c r="J6" s="9" t="n">
        <v>25000</v>
      </c>
      <c r="K6" s="9" t="n">
        <v>25000</v>
      </c>
      <c r="L6" s="9" t="inlineStr"/>
    </row>
    <row r="7">
      <c r="A7" t="inlineStr">
        <is>
          <t>Экологический сбор</t>
        </is>
      </c>
      <c r="B7" t="inlineStr">
        <is>
          <t>20206</t>
        </is>
      </c>
      <c r="C7" s="9" t="n">
        <v>3000</v>
      </c>
      <c r="D7" s="9" t="n">
        <v>3000</v>
      </c>
      <c r="E7" s="9" t="n">
        <v>3000</v>
      </c>
      <c r="F7" s="9" t="n">
        <v>3000</v>
      </c>
      <c r="G7" s="9" t="n">
        <v>3000</v>
      </c>
      <c r="H7" s="9" t="n">
        <v>3000</v>
      </c>
      <c r="I7" s="9" t="n">
        <v>3000</v>
      </c>
      <c r="J7" s="9" t="n">
        <v>3000</v>
      </c>
      <c r="K7" s="9" t="n">
        <v>3000</v>
      </c>
      <c r="L7" s="9" t="inlineStr"/>
    </row>
    <row r="8">
      <c r="A8" t="inlineStr">
        <is>
          <t>Налог на утилизацию</t>
        </is>
      </c>
      <c r="B8" t="inlineStr">
        <is>
          <t>20207</t>
        </is>
      </c>
      <c r="C8" s="9" t="n">
        <v>4000</v>
      </c>
      <c r="D8" s="9" t="n">
        <v>4000</v>
      </c>
      <c r="E8" s="9" t="n">
        <v>4000</v>
      </c>
      <c r="F8" s="9" t="n">
        <v>4000</v>
      </c>
      <c r="G8" s="9" t="n">
        <v>4000</v>
      </c>
      <c r="H8" s="9" t="n">
        <v>4000</v>
      </c>
      <c r="I8" s="9" t="n">
        <v>4000</v>
      </c>
      <c r="J8" s="9" t="n">
        <v>4000</v>
      </c>
      <c r="K8" s="9" t="n">
        <v>4000</v>
      </c>
      <c r="L8" s="9" t="inlineStr"/>
    </row>
    <row r="9">
      <c r="A9" t="inlineStr">
        <is>
          <t>Возмещение налогов</t>
        </is>
      </c>
      <c r="B9" t="inlineStr">
        <is>
          <t>20208</t>
        </is>
      </c>
      <c r="C9" s="9" t="n">
        <v>-5000</v>
      </c>
      <c r="D9" s="9" t="n">
        <v>-5000</v>
      </c>
      <c r="E9" s="9" t="n">
        <v>-5000</v>
      </c>
      <c r="F9" s="9" t="n">
        <v>-5000</v>
      </c>
      <c r="G9" s="9" t="n">
        <v>-5000</v>
      </c>
      <c r="H9" s="9" t="n">
        <v>-5000</v>
      </c>
      <c r="I9" s="9" t="n">
        <v>-5000</v>
      </c>
      <c r="J9" s="9" t="n">
        <v>-5000</v>
      </c>
      <c r="K9" s="9" t="n">
        <v>-5000</v>
      </c>
      <c r="L9" s="9" t="inlineStr"/>
    </row>
    <row r="10">
      <c r="A10" t="inlineStr">
        <is>
          <t>Прочие сборы</t>
        </is>
      </c>
      <c r="B10" t="inlineStr">
        <is>
          <t>20209</t>
        </is>
      </c>
      <c r="C10" s="9" t="n">
        <v>2000</v>
      </c>
      <c r="D10" s="9" t="n">
        <v>2000</v>
      </c>
      <c r="E10" s="9" t="n">
        <v>2000</v>
      </c>
      <c r="F10" s="9" t="n">
        <v>2000</v>
      </c>
      <c r="G10" s="9" t="n">
        <v>2000</v>
      </c>
      <c r="H10" s="9" t="n">
        <v>2000</v>
      </c>
      <c r="I10" s="9" t="n">
        <v>2000</v>
      </c>
      <c r="J10" s="9" t="n">
        <v>2000</v>
      </c>
      <c r="K10" s="9" t="n">
        <v>2000</v>
      </c>
      <c r="L10" s="9" t="inlineStr"/>
    </row>
    <row r="11">
      <c r="A11" t="inlineStr">
        <is>
          <t>Аренда оборудования</t>
        </is>
      </c>
      <c r="B11" t="inlineStr">
        <is>
          <t>20401</t>
        </is>
      </c>
      <c r="C11" s="9" t="n">
        <v>25000</v>
      </c>
      <c r="D11" s="9" t="n">
        <v>25000</v>
      </c>
      <c r="E11" s="9" t="n">
        <v>25000</v>
      </c>
      <c r="F11" s="9" t="n">
        <v>25000</v>
      </c>
      <c r="G11" s="9" t="n">
        <v>25000</v>
      </c>
      <c r="H11" s="9" t="n">
        <v>25000</v>
      </c>
      <c r="I11" s="9" t="n">
        <v>25000</v>
      </c>
      <c r="J11" s="9" t="n">
        <v>25000</v>
      </c>
      <c r="K11" s="9" t="n">
        <v>25000</v>
      </c>
      <c r="L11" s="9" t="inlineStr"/>
    </row>
    <row r="12">
      <c r="A12" t="inlineStr">
        <is>
          <t>Аренда земли</t>
        </is>
      </c>
      <c r="B12" t="inlineStr">
        <is>
          <t>20402</t>
        </is>
      </c>
      <c r="C12" s="9" t="n">
        <v>15000</v>
      </c>
      <c r="D12" s="9" t="n">
        <v>15000</v>
      </c>
      <c r="E12" s="9" t="n">
        <v>15000</v>
      </c>
      <c r="F12" s="9" t="n">
        <v>15000</v>
      </c>
      <c r="G12" s="9" t="n">
        <v>15000</v>
      </c>
      <c r="H12" s="9" t="n">
        <v>15000</v>
      </c>
      <c r="I12" s="9" t="n">
        <v>15000</v>
      </c>
      <c r="J12" s="9" t="n">
        <v>15000</v>
      </c>
      <c r="K12" s="9" t="n">
        <v>15000</v>
      </c>
      <c r="L12" s="9" t="inlineStr"/>
    </row>
    <row r="13">
      <c r="A13" t="inlineStr">
        <is>
          <t>Аренда зданий</t>
        </is>
      </c>
      <c r="B13" t="inlineStr">
        <is>
          <t>20403</t>
        </is>
      </c>
      <c r="C13" s="9" t="n">
        <v>120000</v>
      </c>
      <c r="D13" s="9" t="n">
        <v>120000</v>
      </c>
      <c r="E13" s="9" t="n">
        <v>120000</v>
      </c>
      <c r="F13" s="9" t="n">
        <v>120000</v>
      </c>
      <c r="G13" s="9" t="n">
        <v>120000</v>
      </c>
      <c r="H13" s="9" t="n">
        <v>120000</v>
      </c>
      <c r="I13" s="9" t="n">
        <v>120000</v>
      </c>
      <c r="J13" s="9" t="n">
        <v>120000</v>
      </c>
      <c r="K13" s="9" t="n">
        <v>120000</v>
      </c>
      <c r="L13" s="9" t="inlineStr"/>
    </row>
    <row r="14">
      <c r="A14" t="inlineStr">
        <is>
          <t>Аренда автотранспорта</t>
        </is>
      </c>
      <c r="B14" t="inlineStr">
        <is>
          <t>20404</t>
        </is>
      </c>
      <c r="C14" s="9" t="n">
        <v>35000</v>
      </c>
      <c r="D14" s="9" t="n">
        <v>35000</v>
      </c>
      <c r="E14" s="9" t="n">
        <v>35000</v>
      </c>
      <c r="F14" s="9" t="n">
        <v>35000</v>
      </c>
      <c r="G14" s="9" t="n">
        <v>35000</v>
      </c>
      <c r="H14" s="9" t="n">
        <v>35000</v>
      </c>
      <c r="I14" s="9" t="n">
        <v>35000</v>
      </c>
      <c r="J14" s="9" t="n">
        <v>35000</v>
      </c>
      <c r="K14" s="9" t="n">
        <v>35000</v>
      </c>
      <c r="L14" s="9" t="inlineStr"/>
    </row>
    <row r="15">
      <c r="A15" t="inlineStr">
        <is>
          <t>Лизинг</t>
        </is>
      </c>
      <c r="B15" t="inlineStr">
        <is>
          <t>20405</t>
        </is>
      </c>
      <c r="C15" s="9" t="n">
        <v>45000</v>
      </c>
      <c r="D15" s="9" t="n">
        <v>45000</v>
      </c>
      <c r="E15" s="9" t="n">
        <v>45000</v>
      </c>
      <c r="F15" s="9" t="n">
        <v>45000</v>
      </c>
      <c r="G15" s="9" t="n">
        <v>45000</v>
      </c>
      <c r="H15" s="9" t="n">
        <v>45000</v>
      </c>
      <c r="I15" s="9" t="n">
        <v>45000</v>
      </c>
      <c r="J15" s="9" t="n">
        <v>45000</v>
      </c>
      <c r="K15" s="9" t="n">
        <v>45000</v>
      </c>
      <c r="L15" s="9" t="inlineStr"/>
    </row>
    <row r="16">
      <c r="A16" t="inlineStr">
        <is>
          <t>Внешние юридические консультанты</t>
        </is>
      </c>
      <c r="B16" t="inlineStr">
        <is>
          <t>20501</t>
        </is>
      </c>
      <c r="C16" s="9" t="n">
        <v>25000</v>
      </c>
      <c r="D16" s="9" t="n">
        <v>30000</v>
      </c>
      <c r="E16" s="9" t="n">
        <v>30000</v>
      </c>
      <c r="F16" s="9" t="n">
        <v>25000</v>
      </c>
      <c r="G16" s="9" t="n">
        <v>25000</v>
      </c>
      <c r="H16" s="9" t="n">
        <v>30000</v>
      </c>
      <c r="I16" s="9" t="n">
        <v>30000</v>
      </c>
      <c r="J16" s="9" t="n">
        <v>25000</v>
      </c>
      <c r="K16" s="9" t="n">
        <v>25000</v>
      </c>
      <c r="L16" s="9" t="inlineStr"/>
    </row>
    <row r="17">
      <c r="A17" t="inlineStr">
        <is>
          <t>Амортизация зданий</t>
        </is>
      </c>
      <c r="B17" t="inlineStr">
        <is>
          <t>21101</t>
        </is>
      </c>
      <c r="C17" s="9" t="n">
        <v>80000</v>
      </c>
      <c r="D17" s="9" t="n">
        <v>80000</v>
      </c>
      <c r="E17" s="9" t="n">
        <v>80000</v>
      </c>
      <c r="F17" s="9" t="n">
        <v>80000</v>
      </c>
      <c r="G17" s="9" t="n">
        <v>80000</v>
      </c>
      <c r="H17" s="9" t="n">
        <v>80000</v>
      </c>
      <c r="I17" s="9" t="n">
        <v>80000</v>
      </c>
      <c r="J17" s="9" t="n">
        <v>80000</v>
      </c>
      <c r="K17" s="9" t="n">
        <v>80000</v>
      </c>
      <c r="L17" s="9" t="inlineStr"/>
    </row>
    <row r="18">
      <c r="A18" t="inlineStr">
        <is>
          <t>Амортизация НМА</t>
        </is>
      </c>
      <c r="B18" t="inlineStr">
        <is>
          <t>21102</t>
        </is>
      </c>
      <c r="C18" s="9" t="n">
        <v>20000</v>
      </c>
      <c r="D18" s="9" t="n">
        <v>20000</v>
      </c>
      <c r="E18" s="9" t="n">
        <v>20000</v>
      </c>
      <c r="F18" s="9" t="n">
        <v>20000</v>
      </c>
      <c r="G18" s="9" t="n">
        <v>20000</v>
      </c>
      <c r="H18" s="9" t="n">
        <v>20000</v>
      </c>
      <c r="I18" s="9" t="n">
        <v>20000</v>
      </c>
      <c r="J18" s="9" t="n">
        <v>20000</v>
      </c>
      <c r="K18" s="9" t="n">
        <v>20000</v>
      </c>
      <c r="L18" s="9" t="inlineStr"/>
    </row>
    <row r="19">
      <c r="A19" t="inlineStr">
        <is>
          <t>Амортизация оборудования</t>
        </is>
      </c>
      <c r="B19" t="inlineStr">
        <is>
          <t>21103</t>
        </is>
      </c>
      <c r="C19" s="9" t="n">
        <v>60000</v>
      </c>
      <c r="D19" s="9" t="n">
        <v>60000</v>
      </c>
      <c r="E19" s="9" t="n">
        <v>60000</v>
      </c>
      <c r="F19" s="9" t="n">
        <v>60000</v>
      </c>
      <c r="G19" s="9" t="n">
        <v>60000</v>
      </c>
      <c r="H19" s="9" t="n">
        <v>60000</v>
      </c>
      <c r="I19" s="9" t="n">
        <v>60000</v>
      </c>
      <c r="J19" s="9" t="n">
        <v>60000</v>
      </c>
      <c r="K19" s="9" t="n">
        <v>60000</v>
      </c>
      <c r="L19" s="9" t="inlineStr"/>
    </row>
    <row r="20">
      <c r="A20" t="inlineStr">
        <is>
          <t>Амортизация компьютерного оборудования и ПО</t>
        </is>
      </c>
      <c r="B20" t="inlineStr">
        <is>
          <t>21104</t>
        </is>
      </c>
      <c r="C20" s="9" t="n">
        <v>15000</v>
      </c>
      <c r="D20" s="9" t="n">
        <v>15000</v>
      </c>
      <c r="E20" s="9" t="n">
        <v>15000</v>
      </c>
      <c r="F20" s="9" t="n">
        <v>15000</v>
      </c>
      <c r="G20" s="9" t="n">
        <v>15000</v>
      </c>
      <c r="H20" s="9" t="n">
        <v>15000</v>
      </c>
      <c r="I20" s="9" t="n">
        <v>15000</v>
      </c>
      <c r="J20" s="9" t="n">
        <v>15000</v>
      </c>
      <c r="K20" s="9" t="n">
        <v>15000</v>
      </c>
      <c r="L20" s="9" t="inlineStr"/>
    </row>
    <row r="21">
      <c r="A21" t="inlineStr">
        <is>
          <t>Амортизация транспорта</t>
        </is>
      </c>
      <c r="B21" t="inlineStr">
        <is>
          <t>21105</t>
        </is>
      </c>
      <c r="C21" s="9" t="n">
        <v>25000</v>
      </c>
      <c r="D21" s="9" t="n">
        <v>25000</v>
      </c>
      <c r="E21" s="9" t="n">
        <v>25000</v>
      </c>
      <c r="F21" s="9" t="n">
        <v>25000</v>
      </c>
      <c r="G21" s="9" t="n">
        <v>25000</v>
      </c>
      <c r="H21" s="9" t="n">
        <v>25000</v>
      </c>
      <c r="I21" s="9" t="n">
        <v>25000</v>
      </c>
      <c r="J21" s="9" t="n">
        <v>25000</v>
      </c>
      <c r="K21" s="9" t="n">
        <v>25000</v>
      </c>
      <c r="L2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5" customWidth="1" min="6" max="6"/>
    <col width="21" customWidth="1" min="7" max="7"/>
    <col width="36" customWidth="1" min="8" max="8"/>
    <col hidden="1" width="12" customWidth="1" min="9" max="9"/>
  </cols>
  <sheetData>
    <row r="1">
      <c r="A1" s="10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Аудит</t>
        </is>
      </c>
      <c r="B3" t="inlineStr">
        <is>
          <t>20201</t>
        </is>
      </c>
      <c r="C3" t="n">
        <v>800000</v>
      </c>
      <c r="D3" t="n">
        <v>800000</v>
      </c>
      <c r="E3" t="n">
        <v>0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0</v>
      </c>
    </row>
    <row r="4">
      <c r="A4" t="inlineStr">
        <is>
          <t>Банковские комиссии</t>
        </is>
      </c>
      <c r="B4" t="inlineStr">
        <is>
          <t>20202</t>
        </is>
      </c>
      <c r="C4" t="n">
        <v>60000</v>
      </c>
      <c r="D4" t="n">
        <v>60188</v>
      </c>
      <c r="E4" t="n">
        <v>188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15188</v>
      </c>
    </row>
    <row r="5">
      <c r="A5" t="inlineStr">
        <is>
          <t>Консультационные расходы</t>
        </is>
      </c>
      <c r="B5" t="inlineStr">
        <is>
          <t>20203</t>
        </is>
      </c>
      <c r="C5" t="n">
        <v>180000</v>
      </c>
      <c r="D5" t="n">
        <v>182295</v>
      </c>
      <c r="E5" t="n">
        <v>2295</v>
      </c>
      <c r="F5">
        <f>I5 + SUM('3. Обновление прогноза'!C5:K5)</f>
        <v/>
      </c>
      <c r="G5">
        <f>F5 - C5</f>
        <v/>
      </c>
      <c r="H5">
        <f>G5 - E5</f>
        <v/>
      </c>
      <c r="I5" t="n">
        <v>47295</v>
      </c>
    </row>
    <row r="6">
      <c r="A6" t="inlineStr">
        <is>
          <t>Налоги на имущество</t>
        </is>
      </c>
      <c r="B6" t="inlineStr">
        <is>
          <t>20205</t>
        </is>
      </c>
      <c r="C6" t="n">
        <v>300000</v>
      </c>
      <c r="D6" t="n">
        <v>299797</v>
      </c>
      <c r="E6" t="n">
        <v>-203</v>
      </c>
      <c r="F6">
        <f>I6 + SUM('3. Обновление прогноза'!C6:K6)</f>
        <v/>
      </c>
      <c r="G6">
        <f>F6 - C6</f>
        <v/>
      </c>
      <c r="H6">
        <f>G6 - E6</f>
        <v/>
      </c>
      <c r="I6" t="n">
        <v>74797</v>
      </c>
    </row>
    <row r="7">
      <c r="A7" t="inlineStr">
        <is>
          <t>Экологический сбор</t>
        </is>
      </c>
      <c r="B7" t="inlineStr">
        <is>
          <t>20206</t>
        </is>
      </c>
      <c r="C7" t="n">
        <v>36000</v>
      </c>
      <c r="D7" t="n">
        <v>36248</v>
      </c>
      <c r="E7" t="n">
        <v>248</v>
      </c>
      <c r="F7">
        <f>I7 + SUM('3. Обновление прогноза'!C7:K7)</f>
        <v/>
      </c>
      <c r="G7">
        <f>F7 - C7</f>
        <v/>
      </c>
      <c r="H7">
        <f>G7 - E7</f>
        <v/>
      </c>
      <c r="I7" t="n">
        <v>9248</v>
      </c>
    </row>
    <row r="8">
      <c r="A8" t="inlineStr">
        <is>
          <t>Налог на утилизацию</t>
        </is>
      </c>
      <c r="B8" t="inlineStr">
        <is>
          <t>20207</t>
        </is>
      </c>
      <c r="C8" t="n">
        <v>48000</v>
      </c>
      <c r="D8" t="n">
        <v>48301</v>
      </c>
      <c r="E8" t="n">
        <v>301</v>
      </c>
      <c r="F8">
        <f>I8 + SUM('3. Обновление прогноза'!C8:K8)</f>
        <v/>
      </c>
      <c r="G8">
        <f>F8 - C8</f>
        <v/>
      </c>
      <c r="H8">
        <f>G8 - E8</f>
        <v/>
      </c>
      <c r="I8" t="n">
        <v>12301</v>
      </c>
    </row>
    <row r="9">
      <c r="A9" t="inlineStr">
        <is>
          <t>Возмещение налогов</t>
        </is>
      </c>
      <c r="B9" t="inlineStr">
        <is>
          <t>20208</t>
        </is>
      </c>
      <c r="C9" t="n">
        <v>-60000</v>
      </c>
      <c r="D9" t="n">
        <v>-60550</v>
      </c>
      <c r="E9" t="n">
        <v>-550</v>
      </c>
      <c r="F9">
        <f>I9 + SUM('3. Обновление прогноза'!C9:K9)</f>
        <v/>
      </c>
      <c r="G9">
        <f>F9 - C9</f>
        <v/>
      </c>
      <c r="H9">
        <f>G9 - E9</f>
        <v/>
      </c>
      <c r="I9" t="n">
        <v>-15550</v>
      </c>
    </row>
    <row r="10">
      <c r="A10" t="inlineStr">
        <is>
          <t>Прочие сборы</t>
        </is>
      </c>
      <c r="B10" t="inlineStr">
        <is>
          <t>20209</t>
        </is>
      </c>
      <c r="C10" t="n">
        <v>24000</v>
      </c>
      <c r="D10" t="n">
        <v>24823</v>
      </c>
      <c r="E10" t="n">
        <v>823</v>
      </c>
      <c r="F10">
        <f>I10 + SUM('3. Обновление прогноза'!C10:K10)</f>
        <v/>
      </c>
      <c r="G10">
        <f>F10 - C10</f>
        <v/>
      </c>
      <c r="H10">
        <f>G10 - E10</f>
        <v/>
      </c>
      <c r="I10" t="n">
        <v>6823</v>
      </c>
    </row>
    <row r="11">
      <c r="A11" t="inlineStr">
        <is>
          <t>Аренда оборудования</t>
        </is>
      </c>
      <c r="B11" t="inlineStr">
        <is>
          <t>20401</t>
        </is>
      </c>
      <c r="C11" t="n">
        <v>300000</v>
      </c>
      <c r="D11" t="n">
        <v>279505</v>
      </c>
      <c r="E11" t="n">
        <v>-20495</v>
      </c>
      <c r="F11">
        <f>I11 + SUM('3. Обновление прогноза'!C11:K11)</f>
        <v/>
      </c>
      <c r="G11">
        <f>F11 - C11</f>
        <v/>
      </c>
      <c r="H11">
        <f>G11 - E11</f>
        <v/>
      </c>
      <c r="I11" t="n">
        <v>54505</v>
      </c>
    </row>
    <row r="12">
      <c r="A12" t="inlineStr">
        <is>
          <t>Аренда земли</t>
        </is>
      </c>
      <c r="B12" t="inlineStr">
        <is>
          <t>20402</t>
        </is>
      </c>
      <c r="C12" t="n">
        <v>180000</v>
      </c>
      <c r="D12" t="n">
        <v>184033</v>
      </c>
      <c r="E12" t="n">
        <v>4033</v>
      </c>
      <c r="F12">
        <f>I12 + SUM('3. Обновление прогноза'!C12:K12)</f>
        <v/>
      </c>
      <c r="G12">
        <f>F12 - C12</f>
        <v/>
      </c>
      <c r="H12">
        <f>G12 - E12</f>
        <v/>
      </c>
      <c r="I12" t="n">
        <v>49033</v>
      </c>
    </row>
    <row r="13">
      <c r="A13" t="inlineStr">
        <is>
          <t>Аренда зданий</t>
        </is>
      </c>
      <c r="B13" t="inlineStr">
        <is>
          <t>20403</t>
        </is>
      </c>
      <c r="C13" t="n">
        <v>1440000</v>
      </c>
      <c r="D13" t="n">
        <v>1422715</v>
      </c>
      <c r="E13" t="n">
        <v>-17285</v>
      </c>
      <c r="F13">
        <f>I13 + SUM('3. Обновление прогноза'!C13:K13)</f>
        <v/>
      </c>
      <c r="G13">
        <f>F13 - C13</f>
        <v/>
      </c>
      <c r="H13">
        <f>G13 - E13</f>
        <v/>
      </c>
      <c r="I13" t="n">
        <v>342715</v>
      </c>
    </row>
    <row r="14">
      <c r="A14" t="inlineStr">
        <is>
          <t>Аренда автотранспорта</t>
        </is>
      </c>
      <c r="B14" t="inlineStr">
        <is>
          <t>20404</t>
        </is>
      </c>
      <c r="C14" t="n">
        <v>420000</v>
      </c>
      <c r="D14" t="n">
        <v>421816</v>
      </c>
      <c r="E14" t="n">
        <v>1816</v>
      </c>
      <c r="F14">
        <f>I14 + SUM('3. Обновление прогноза'!C14:K14)</f>
        <v/>
      </c>
      <c r="G14">
        <f>F14 - C14</f>
        <v/>
      </c>
      <c r="H14">
        <f>G14 - E14</f>
        <v/>
      </c>
      <c r="I14" t="n">
        <v>106816</v>
      </c>
    </row>
    <row r="15">
      <c r="A15" t="inlineStr">
        <is>
          <t>Лизинг</t>
        </is>
      </c>
      <c r="B15" t="inlineStr">
        <is>
          <t>20405</t>
        </is>
      </c>
      <c r="C15" t="n">
        <v>540000</v>
      </c>
      <c r="D15" t="n">
        <v>486934</v>
      </c>
      <c r="E15" t="n">
        <v>-53066</v>
      </c>
      <c r="F15">
        <f>I15 + SUM('3. Обновление прогноза'!C15:K15)</f>
        <v/>
      </c>
      <c r="G15">
        <f>F15 - C15</f>
        <v/>
      </c>
      <c r="H15">
        <f>G15 - E15</f>
        <v/>
      </c>
      <c r="I15" t="n">
        <v>81934</v>
      </c>
    </row>
    <row r="16">
      <c r="A16" t="inlineStr">
        <is>
          <t>Внешние юридические консультанты</t>
        </is>
      </c>
      <c r="B16" t="inlineStr">
        <is>
          <t>20501</t>
        </is>
      </c>
      <c r="C16" t="n">
        <v>310000</v>
      </c>
      <c r="D16" t="n">
        <v>307641</v>
      </c>
      <c r="E16" t="n">
        <v>-2359</v>
      </c>
      <c r="F16">
        <f>I16 + SUM('3. Обновление прогноза'!C16:K16)</f>
        <v/>
      </c>
      <c r="G16">
        <f>F16 - C16</f>
        <v/>
      </c>
      <c r="H16">
        <f>G16 - E16</f>
        <v/>
      </c>
      <c r="I16" t="n">
        <v>62641</v>
      </c>
    </row>
    <row r="17">
      <c r="A17" t="inlineStr">
        <is>
          <t>Амортизация зданий</t>
        </is>
      </c>
      <c r="B17" t="inlineStr">
        <is>
          <t>21101</t>
        </is>
      </c>
      <c r="C17" t="n">
        <v>960000</v>
      </c>
      <c r="D17" t="n">
        <v>960509</v>
      </c>
      <c r="E17" t="n">
        <v>509</v>
      </c>
      <c r="F17">
        <f>I17 + SUM('3. Обновление прогноза'!C17:K17)</f>
        <v/>
      </c>
      <c r="G17">
        <f>F17 - C17</f>
        <v/>
      </c>
      <c r="H17">
        <f>G17 - E17</f>
        <v/>
      </c>
      <c r="I17" t="n">
        <v>240509</v>
      </c>
    </row>
    <row r="18">
      <c r="A18" t="inlineStr">
        <is>
          <t>Амортизация НМА</t>
        </is>
      </c>
      <c r="B18" t="inlineStr">
        <is>
          <t>21102</t>
        </is>
      </c>
      <c r="C18" t="n">
        <v>240000</v>
      </c>
      <c r="D18" t="n">
        <v>242734</v>
      </c>
      <c r="E18" t="n">
        <v>2734</v>
      </c>
      <c r="F18">
        <f>I18 + SUM('3. Обновление прогноза'!C18:K18)</f>
        <v/>
      </c>
      <c r="G18">
        <f>F18 - C18</f>
        <v/>
      </c>
      <c r="H18">
        <f>G18 - E18</f>
        <v/>
      </c>
      <c r="I18" t="n">
        <v>62734</v>
      </c>
    </row>
    <row r="19">
      <c r="A19" t="inlineStr">
        <is>
          <t>Амортизация оборудования</t>
        </is>
      </c>
      <c r="B19" t="inlineStr">
        <is>
          <t>21103</t>
        </is>
      </c>
      <c r="C19" t="n">
        <v>720000</v>
      </c>
      <c r="D19" t="n">
        <v>716724</v>
      </c>
      <c r="E19" t="n">
        <v>-3276</v>
      </c>
      <c r="F19">
        <f>I19 + SUM('3. Обновление прогноза'!C19:K19)</f>
        <v/>
      </c>
      <c r="G19">
        <f>F19 - C19</f>
        <v/>
      </c>
      <c r="H19">
        <f>G19 - E19</f>
        <v/>
      </c>
      <c r="I19" t="n">
        <v>176724</v>
      </c>
    </row>
    <row r="20">
      <c r="A20" t="inlineStr">
        <is>
          <t>Амортизация компьютерного оборудования и ПО</t>
        </is>
      </c>
      <c r="B20" t="inlineStr">
        <is>
          <t>21104</t>
        </is>
      </c>
      <c r="C20" t="n">
        <v>180000</v>
      </c>
      <c r="D20" t="n">
        <v>181604</v>
      </c>
      <c r="E20" t="n">
        <v>1604</v>
      </c>
      <c r="F20">
        <f>I20 + SUM('3. Обновление прогноза'!C20:K20)</f>
        <v/>
      </c>
      <c r="G20">
        <f>F20 - C20</f>
        <v/>
      </c>
      <c r="H20">
        <f>G20 - E20</f>
        <v/>
      </c>
      <c r="I20" t="n">
        <v>46604</v>
      </c>
    </row>
    <row r="21">
      <c r="A21" t="inlineStr">
        <is>
          <t>Амортизация транспорта</t>
        </is>
      </c>
      <c r="B21" t="inlineStr">
        <is>
          <t>21105</t>
        </is>
      </c>
      <c r="C21" t="n">
        <v>300000</v>
      </c>
      <c r="D21" t="n">
        <v>271156</v>
      </c>
      <c r="E21" t="n">
        <v>-28844</v>
      </c>
      <c r="F21">
        <f>I21 + SUM('3. Обновление прогноза'!C21:K21)</f>
        <v/>
      </c>
      <c r="G21">
        <f>F21 - C21</f>
        <v/>
      </c>
      <c r="H21">
        <f>G21 - E21</f>
        <v/>
      </c>
      <c r="I21" t="n">
        <v>46156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2026-10-24T06:28:46Z</dcterms:created>
  <dcterms:modified xsi:type="dcterms:W3CDTF">2026-10-24T06:28:46Z</dcterms:modified>
</cp:coreProperties>
</file>