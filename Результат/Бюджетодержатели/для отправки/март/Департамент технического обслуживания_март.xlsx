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нструкция" sheetId="1" state="visible" r:id="rId1"/>
    <sheet name="2. Факт vs Прогноз" sheetId="2" state="visible" r:id="rId2"/>
    <sheet name="3. Обновление прогноза" sheetId="3" state="visible" r:id="rId3"/>
    <sheet name="4. Сводка по год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2" borderId="0" applyProtection="1" pivotButton="0" quotePrefix="0" xfId="0">
      <protection locked="0" hidden="0"/>
    </xf>
    <xf numFmtId="0" fontId="0" fillId="3" borderId="0" pivotButton="0" quotePrefix="0" xfId="0"/>
    <xf numFmtId="0" fontId="0" fillId="4" borderId="0" applyProtection="1" pivotButton="0" quotePrefix="0" xfId="0">
      <protection locked="0" hidden="0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5" customWidth="1" min="2" max="2"/>
  </cols>
  <sheetData>
    <row r="1"/>
    <row r="2">
      <c r="B2" s="1" t="inlineStr">
        <is>
          <t>ИНСТРУКЦИЯ ПО ЗАПОЛНЕНИЮ ОТЧЕТА</t>
        </is>
      </c>
    </row>
    <row r="3"/>
    <row r="4">
      <c r="B4" s="2" t="inlineStr">
        <is>
          <t>Уважаемый руководитель департамента!</t>
        </is>
      </c>
    </row>
    <row r="5">
      <c r="B5" s="2" t="inlineStr"/>
    </row>
    <row r="6">
      <c r="B6" s="2" t="inlineStr">
        <is>
          <t>Вам необходимо заполнить желтые и голубые ячейки на листах 2 и 3.</t>
        </is>
      </c>
    </row>
    <row r="7">
      <c r="B7" s="2" t="inlineStr"/>
    </row>
    <row r="8">
      <c r="B8" s="3" t="inlineStr">
        <is>
          <t>ЛИСТ 2 'ФАКТ VS ПРОГНОЗ':</t>
        </is>
      </c>
    </row>
    <row r="9">
      <c r="B9" s="2" t="inlineStr">
        <is>
          <t>1. Ознакомьтесь с фактом за текущий месяц.</t>
        </is>
      </c>
    </row>
    <row r="10">
      <c r="B10" s="2" t="inlineStr">
        <is>
          <t>2. В крайней правой колонке (голубой фон) напишите причину отклонения факта.</t>
        </is>
      </c>
    </row>
    <row r="11">
      <c r="B11" s="2" t="inlineStr"/>
    </row>
    <row r="12">
      <c r="B12" s="3" t="inlineStr">
        <is>
          <t>ЛИСТ 3 'ОБНОВЛЕНИЕ ПРОГНОЗА':</t>
        </is>
      </c>
    </row>
    <row r="13">
      <c r="B13" s="2" t="inlineStr">
        <is>
          <t>1. Пересмотрите прогноз на будущие месяцы (до конца года).</t>
        </is>
      </c>
    </row>
    <row r="14">
      <c r="B14" s="2" t="inlineStr">
        <is>
          <t>2. Впишите новые суммы в желтые ячейки.</t>
        </is>
      </c>
    </row>
    <row r="15">
      <c r="B15" s="2" t="inlineStr">
        <is>
          <t>3. В крайней правой колонке объясните, почему прогноз изменился.</t>
        </is>
      </c>
    </row>
    <row r="16">
      <c r="B16" s="2" t="inlineStr"/>
    </row>
    <row r="17">
      <c r="B17" s="3" t="inlineStr">
        <is>
          <t>ЛИСТ 4 'СВОДКА ПО ГОДУ':</t>
        </is>
      </c>
    </row>
    <row r="18">
      <c r="B18" s="2" t="inlineStr">
        <is>
          <t>Здесь автоматически формируется годовой итог. Как только вы измените цифры на Листе 3, итоги на Листе 4 пересчитаются автоматически.</t>
        </is>
      </c>
    </row>
    <row r="19">
      <c r="B19" s="2" t="inlineStr"/>
    </row>
    <row r="20">
      <c r="B20" s="2" t="inlineStr">
        <is>
          <t>Обратите внимание: остальные колонки защищены от редактирования.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7" customWidth="1" min="3" max="3"/>
    <col width="14" customWidth="1" min="4" max="4"/>
    <col width="20" customWidth="1" min="5" max="5"/>
    <col width="22" customWidth="1" min="6" max="6"/>
    <col width="23" customWidth="1" min="7" max="7"/>
  </cols>
  <sheetData>
    <row r="1">
      <c r="A1" s="4" t="n"/>
      <c r="B1" s="4" t="n"/>
      <c r="C1" s="4" t="n"/>
      <c r="D1" s="4" t="n"/>
      <c r="E1" s="4" t="n"/>
      <c r="F1" s="4" t="n"/>
      <c r="G1" s="5" t="n"/>
    </row>
    <row r="2">
      <c r="A2" t="inlineStr">
        <is>
          <t>расход</t>
        </is>
      </c>
      <c r="B2" t="inlineStr">
        <is>
          <t>код статьи</t>
        </is>
      </c>
      <c r="C2" t="inlineStr">
        <is>
          <t>Прогноз (март)</t>
        </is>
      </c>
      <c r="D2" t="inlineStr">
        <is>
          <t>Факт (март)</t>
        </is>
      </c>
      <c r="E2" t="inlineStr">
        <is>
          <t>Отклонение (март)</t>
        </is>
      </c>
      <c r="F2" t="inlineStr">
        <is>
          <t>Отклонение % (март)</t>
        </is>
      </c>
      <c r="G2" s="6" t="inlineStr">
        <is>
          <t>Комментарий по факту</t>
        </is>
      </c>
    </row>
    <row r="3">
      <c r="A3" t="inlineStr">
        <is>
          <t>Вода + Стоки</t>
        </is>
      </c>
      <c r="B3" t="inlineStr">
        <is>
          <t>10201</t>
        </is>
      </c>
      <c r="C3" t="n">
        <v>26000</v>
      </c>
      <c r="D3" t="n">
        <v>26201</v>
      </c>
      <c r="E3" t="n">
        <v>201</v>
      </c>
      <c r="F3" t="n">
        <v>0.8</v>
      </c>
      <c r="G3" s="6" t="inlineStr"/>
    </row>
    <row r="4">
      <c r="A4" t="inlineStr">
        <is>
          <t>Электричество</t>
        </is>
      </c>
      <c r="B4" t="inlineStr">
        <is>
          <t>10202</t>
        </is>
      </c>
      <c r="C4" t="n">
        <v>82000</v>
      </c>
      <c r="D4" t="n">
        <v>92564</v>
      </c>
      <c r="E4" t="n">
        <v>10564</v>
      </c>
      <c r="F4" s="7" t="n">
        <v>12.9</v>
      </c>
      <c r="G4" s="6" t="inlineStr"/>
    </row>
    <row r="5">
      <c r="A5" t="inlineStr">
        <is>
          <t>Газ</t>
        </is>
      </c>
      <c r="B5" t="inlineStr">
        <is>
          <t>10203</t>
        </is>
      </c>
      <c r="C5" t="n">
        <v>44000</v>
      </c>
      <c r="D5" t="n">
        <v>42859</v>
      </c>
      <c r="E5" t="n">
        <v>-1141</v>
      </c>
      <c r="F5" t="n">
        <v>-2.6</v>
      </c>
      <c r="G5" s="6" t="inlineStr"/>
    </row>
    <row r="6">
      <c r="A6" t="inlineStr">
        <is>
          <t>Услуги по техобслуживанию</t>
        </is>
      </c>
      <c r="B6" t="inlineStr">
        <is>
          <t>20701</t>
        </is>
      </c>
      <c r="C6" t="n">
        <v>50000</v>
      </c>
      <c r="D6" t="n">
        <v>47626</v>
      </c>
      <c r="E6" t="n">
        <v>-2374</v>
      </c>
      <c r="F6" t="n">
        <v>-4.7</v>
      </c>
      <c r="G6" s="6" t="inlineStr"/>
    </row>
    <row r="7">
      <c r="A7" t="inlineStr">
        <is>
          <t>Материалы для ТОиР промышленного оборудования со склада</t>
        </is>
      </c>
      <c r="B7" t="inlineStr">
        <is>
          <t>20702</t>
        </is>
      </c>
      <c r="C7" t="n">
        <v>25000</v>
      </c>
      <c r="D7" t="n">
        <v>27172</v>
      </c>
      <c r="E7" t="n">
        <v>2172</v>
      </c>
      <c r="F7" t="n">
        <v>8.699999999999999</v>
      </c>
      <c r="G7" s="6" t="inlineStr"/>
    </row>
    <row r="8">
      <c r="A8" t="inlineStr">
        <is>
          <t>Материалы для ТОиР промышленного оборудования вне склада</t>
        </is>
      </c>
      <c r="B8" t="inlineStr">
        <is>
          <t>20703</t>
        </is>
      </c>
      <c r="C8" t="n">
        <v>15000</v>
      </c>
      <c r="D8" t="n">
        <v>16696</v>
      </c>
      <c r="E8" t="n">
        <v>1696</v>
      </c>
      <c r="F8" s="7" t="n">
        <v>11.3</v>
      </c>
      <c r="G8" s="6" t="inlineStr"/>
    </row>
    <row r="9">
      <c r="A9" t="inlineStr">
        <is>
          <t>Материалы для ремонта лабораторного оборудования</t>
        </is>
      </c>
      <c r="B9" t="inlineStr">
        <is>
          <t>20704</t>
        </is>
      </c>
      <c r="C9" t="n">
        <v>8000</v>
      </c>
      <c r="D9" t="n">
        <v>8966</v>
      </c>
      <c r="E9" t="n">
        <v>966</v>
      </c>
      <c r="F9" s="7" t="n">
        <v>12.1</v>
      </c>
      <c r="G9" s="6" t="inlineStr"/>
    </row>
    <row r="10">
      <c r="A10" t="inlineStr">
        <is>
          <t>Материалы для ТОиР офисной техники</t>
        </is>
      </c>
      <c r="B10" t="inlineStr">
        <is>
          <t>20705</t>
        </is>
      </c>
      <c r="C10" t="n">
        <v>5000</v>
      </c>
      <c r="D10" t="n">
        <v>5249</v>
      </c>
      <c r="E10" t="n">
        <v>249</v>
      </c>
      <c r="F10" t="n">
        <v>5</v>
      </c>
      <c r="G10" s="6" t="inlineStr"/>
    </row>
    <row r="11">
      <c r="A11" t="inlineStr">
        <is>
          <t>Материалы для ТОиР зданий и сооружений</t>
        </is>
      </c>
      <c r="B11" t="inlineStr">
        <is>
          <t>20706</t>
        </is>
      </c>
      <c r="C11" t="n">
        <v>12000</v>
      </c>
      <c r="D11" t="n">
        <v>13277</v>
      </c>
      <c r="E11" t="n">
        <v>1277</v>
      </c>
      <c r="F11" s="7" t="n">
        <v>10.6</v>
      </c>
      <c r="G11" s="6" t="inlineStr"/>
    </row>
    <row r="12">
      <c r="A12" t="inlineStr">
        <is>
          <t>Списания по техобслуживанию</t>
        </is>
      </c>
      <c r="B12" t="inlineStr">
        <is>
          <t>20707</t>
        </is>
      </c>
      <c r="C12" t="n">
        <v>3000</v>
      </c>
      <c r="D12" t="n">
        <v>2836</v>
      </c>
      <c r="E12" t="n">
        <v>-164</v>
      </c>
      <c r="F12" t="n">
        <v>-5.5</v>
      </c>
      <c r="G12" s="6" t="inlineStr"/>
    </row>
    <row r="13">
      <c r="A13" t="inlineStr">
        <is>
          <t>Труд сторонних подрядчиков</t>
        </is>
      </c>
      <c r="B13" t="inlineStr">
        <is>
          <t>20708</t>
        </is>
      </c>
      <c r="C13" t="n">
        <v>40000</v>
      </c>
      <c r="D13" t="n">
        <v>44538</v>
      </c>
      <c r="E13" t="n">
        <v>4538</v>
      </c>
      <c r="F13" s="7" t="n">
        <v>11.3</v>
      </c>
      <c r="G13" s="6" t="inlineStr"/>
    </row>
    <row r="14">
      <c r="A14" t="inlineStr">
        <is>
          <t>Производственные расходники Упаковка</t>
        </is>
      </c>
      <c r="B14" t="inlineStr">
        <is>
          <t>20709</t>
        </is>
      </c>
      <c r="C14" t="n">
        <v>20000</v>
      </c>
      <c r="D14" t="n">
        <v>19787</v>
      </c>
      <c r="E14" t="n">
        <v>-213</v>
      </c>
      <c r="F14" t="n">
        <v>-1.1</v>
      </c>
      <c r="G14" s="6" t="inlineStr"/>
    </row>
    <row r="15">
      <c r="A15" t="inlineStr">
        <is>
          <t>Производственные расходники клеящие вещества</t>
        </is>
      </c>
      <c r="B15" t="inlineStr">
        <is>
          <t>20710</t>
        </is>
      </c>
      <c r="C15" t="n">
        <v>10000</v>
      </c>
      <c r="D15" t="n">
        <v>11281</v>
      </c>
      <c r="E15" t="n">
        <v>1281</v>
      </c>
      <c r="F15" s="7" t="n">
        <v>12.8</v>
      </c>
      <c r="G15" s="6" t="inlineStr"/>
    </row>
    <row r="16">
      <c r="A16" t="inlineStr">
        <is>
          <t>Производственные расходники Химические моющие средства</t>
        </is>
      </c>
      <c r="B16" t="inlineStr">
        <is>
          <t>20711</t>
        </is>
      </c>
      <c r="C16" t="n">
        <v>7000</v>
      </c>
      <c r="D16" t="n">
        <v>7085</v>
      </c>
      <c r="E16" t="n">
        <v>85</v>
      </c>
      <c r="F16" t="n">
        <v>1.2</v>
      </c>
      <c r="G16" s="6" t="inlineStr"/>
    </row>
    <row r="17">
      <c r="A17" t="inlineStr">
        <is>
          <t>Техобслуживание — Аппаратное обеспечение</t>
        </is>
      </c>
      <c r="B17" t="inlineStr">
        <is>
          <t>21001</t>
        </is>
      </c>
      <c r="C17" t="n">
        <v>25000</v>
      </c>
      <c r="D17" t="n">
        <v>27824</v>
      </c>
      <c r="E17" t="n">
        <v>2824</v>
      </c>
      <c r="F17" s="7" t="n">
        <v>11.3</v>
      </c>
      <c r="G17" s="6" t="inlineStr"/>
    </row>
    <row r="18">
      <c r="A18" t="inlineStr">
        <is>
          <t>Техобслуживание — Программное обеспечение</t>
        </is>
      </c>
      <c r="B18" t="inlineStr">
        <is>
          <t>21002</t>
        </is>
      </c>
      <c r="C18" t="n">
        <v>30000</v>
      </c>
      <c r="D18" t="n">
        <v>31429</v>
      </c>
      <c r="E18" t="n">
        <v>1429</v>
      </c>
      <c r="F18" t="n">
        <v>4.8</v>
      </c>
      <c r="G18" s="6" t="inlineStr"/>
    </row>
    <row r="19">
      <c r="A19" t="inlineStr">
        <is>
          <t>IT-контрактные услуги</t>
        </is>
      </c>
      <c r="B19" t="inlineStr">
        <is>
          <t>21003</t>
        </is>
      </c>
      <c r="C19" t="n">
        <v>20000</v>
      </c>
      <c r="D19" t="n">
        <v>18628</v>
      </c>
      <c r="E19" t="n">
        <v>-1372</v>
      </c>
      <c r="F19" t="n">
        <v>-6.9</v>
      </c>
      <c r="G19" s="6" t="inlineStr"/>
    </row>
    <row r="20">
      <c r="A20" t="inlineStr">
        <is>
          <t>Телекоммуникации — Телефоны и связь</t>
        </is>
      </c>
      <c r="B20" t="inlineStr">
        <is>
          <t>21004</t>
        </is>
      </c>
      <c r="C20" t="n">
        <v>8000</v>
      </c>
      <c r="D20" t="n">
        <v>7445</v>
      </c>
      <c r="E20" t="n">
        <v>-555</v>
      </c>
      <c r="F20" t="n">
        <v>-6.9</v>
      </c>
      <c r="G20" s="6" t="inlineStr"/>
    </row>
    <row r="21">
      <c r="A21" t="inlineStr">
        <is>
          <t>Расходные материалы — Покупка ПК</t>
        </is>
      </c>
      <c r="B21" t="inlineStr">
        <is>
          <t>21005</t>
        </is>
      </c>
      <c r="C21" t="n">
        <v>5000</v>
      </c>
      <c r="D21" t="n">
        <v>5457</v>
      </c>
      <c r="E21" t="n">
        <v>457</v>
      </c>
      <c r="F21" t="n">
        <v>9.1</v>
      </c>
      <c r="G21" s="6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9" customWidth="1" min="12" max="12"/>
  </cols>
  <sheetData>
    <row r="1">
      <c r="A1" s="4" t="n"/>
      <c r="B1" s="4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t="inlineStr">
        <is>
          <t>расход</t>
        </is>
      </c>
      <c r="B2" t="inlineStr">
        <is>
          <t>код статьи</t>
        </is>
      </c>
      <c r="C2" s="8" t="inlineStr">
        <is>
          <t>апрель</t>
        </is>
      </c>
      <c r="D2" s="8" t="inlineStr">
        <is>
          <t>май</t>
        </is>
      </c>
      <c r="E2" s="8" t="inlineStr">
        <is>
          <t>июнь</t>
        </is>
      </c>
      <c r="F2" s="8" t="inlineStr">
        <is>
          <t>июль</t>
        </is>
      </c>
      <c r="G2" s="8" t="inlineStr">
        <is>
          <t>август</t>
        </is>
      </c>
      <c r="H2" s="8" t="inlineStr">
        <is>
          <t>сентябрь</t>
        </is>
      </c>
      <c r="I2" s="8" t="inlineStr">
        <is>
          <t>октябрь</t>
        </is>
      </c>
      <c r="J2" s="8" t="inlineStr">
        <is>
          <t>ноябрь</t>
        </is>
      </c>
      <c r="K2" s="8" t="inlineStr">
        <is>
          <t>декабрь</t>
        </is>
      </c>
      <c r="L2" s="8" t="inlineStr">
        <is>
          <t>Причина изменения прогноза</t>
        </is>
      </c>
    </row>
    <row r="3">
      <c r="A3" t="inlineStr">
        <is>
          <t>Вода + Стоки</t>
        </is>
      </c>
      <c r="B3" t="inlineStr">
        <is>
          <t>10201</t>
        </is>
      </c>
      <c r="C3" s="8" t="n">
        <v>27000</v>
      </c>
      <c r="D3" s="8" t="n">
        <v>28000</v>
      </c>
      <c r="E3" s="8" t="n">
        <v>29000</v>
      </c>
      <c r="F3" s="8" t="n">
        <v>30000</v>
      </c>
      <c r="G3" s="8" t="n">
        <v>31000</v>
      </c>
      <c r="H3" s="8" t="n">
        <v>29000</v>
      </c>
      <c r="I3" s="8" t="n">
        <v>27000</v>
      </c>
      <c r="J3" s="8" t="n">
        <v>26000</v>
      </c>
      <c r="K3" s="8" t="n">
        <v>25000</v>
      </c>
      <c r="L3" s="8" t="inlineStr"/>
    </row>
    <row r="4">
      <c r="A4" t="inlineStr">
        <is>
          <t>Электричество</t>
        </is>
      </c>
      <c r="B4" t="inlineStr">
        <is>
          <t>10202</t>
        </is>
      </c>
      <c r="C4" s="8" t="n">
        <v>85000</v>
      </c>
      <c r="D4" s="8" t="n">
        <v>90000</v>
      </c>
      <c r="E4" s="8" t="n">
        <v>95000</v>
      </c>
      <c r="F4" s="8" t="n">
        <v>100000</v>
      </c>
      <c r="G4" s="8" t="n">
        <v>105000</v>
      </c>
      <c r="H4" s="8" t="n">
        <v>95000</v>
      </c>
      <c r="I4" s="8" t="n">
        <v>88000</v>
      </c>
      <c r="J4" s="8" t="n">
        <v>84000</v>
      </c>
      <c r="K4" s="8" t="n">
        <v>82000</v>
      </c>
      <c r="L4" s="8" t="inlineStr"/>
    </row>
    <row r="5">
      <c r="A5" t="inlineStr">
        <is>
          <t>Газ</t>
        </is>
      </c>
      <c r="B5" t="inlineStr">
        <is>
          <t>10203</t>
        </is>
      </c>
      <c r="C5" s="8" t="n">
        <v>40000</v>
      </c>
      <c r="D5" s="8" t="n">
        <v>35000</v>
      </c>
      <c r="E5" s="8" t="n">
        <v>30000</v>
      </c>
      <c r="F5" s="8" t="n">
        <v>28000</v>
      </c>
      <c r="G5" s="8" t="n">
        <v>28000</v>
      </c>
      <c r="H5" s="8" t="n">
        <v>32000</v>
      </c>
      <c r="I5" s="8" t="n">
        <v>38000</v>
      </c>
      <c r="J5" s="8" t="n">
        <v>42000</v>
      </c>
      <c r="K5" s="8" t="n">
        <v>45000</v>
      </c>
      <c r="L5" s="8" t="inlineStr"/>
    </row>
    <row r="6">
      <c r="A6" t="inlineStr">
        <is>
          <t>Услуги по техобслуживанию</t>
        </is>
      </c>
      <c r="B6" t="inlineStr">
        <is>
          <t>20701</t>
        </is>
      </c>
      <c r="C6" s="8" t="n">
        <v>50000</v>
      </c>
      <c r="D6" s="8" t="n">
        <v>50000</v>
      </c>
      <c r="E6" s="8" t="n">
        <v>50000</v>
      </c>
      <c r="F6" s="8" t="n">
        <v>50000</v>
      </c>
      <c r="G6" s="8" t="n">
        <v>50000</v>
      </c>
      <c r="H6" s="8" t="n">
        <v>50000</v>
      </c>
      <c r="I6" s="8" t="n">
        <v>50000</v>
      </c>
      <c r="J6" s="8" t="n">
        <v>50000</v>
      </c>
      <c r="K6" s="8" t="n">
        <v>50000</v>
      </c>
      <c r="L6" s="8" t="inlineStr"/>
    </row>
    <row r="7">
      <c r="A7" t="inlineStr">
        <is>
          <t>Материалы для ТОиР промышленного оборудования со склада</t>
        </is>
      </c>
      <c r="B7" t="inlineStr">
        <is>
          <t>20702</t>
        </is>
      </c>
      <c r="C7" s="8" t="n">
        <v>25000</v>
      </c>
      <c r="D7" s="8" t="n">
        <v>25000</v>
      </c>
      <c r="E7" s="8" t="n">
        <v>25000</v>
      </c>
      <c r="F7" s="8" t="n">
        <v>25000</v>
      </c>
      <c r="G7" s="8" t="n">
        <v>25000</v>
      </c>
      <c r="H7" s="8" t="n">
        <v>25000</v>
      </c>
      <c r="I7" s="8" t="n">
        <v>25000</v>
      </c>
      <c r="J7" s="8" t="n">
        <v>25000</v>
      </c>
      <c r="K7" s="8" t="n">
        <v>25000</v>
      </c>
      <c r="L7" s="8" t="inlineStr"/>
    </row>
    <row r="8">
      <c r="A8" t="inlineStr">
        <is>
          <t>Материалы для ТОиР промышленного оборудования вне склада</t>
        </is>
      </c>
      <c r="B8" t="inlineStr">
        <is>
          <t>20703</t>
        </is>
      </c>
      <c r="C8" s="8" t="n">
        <v>15000</v>
      </c>
      <c r="D8" s="8" t="n">
        <v>15000</v>
      </c>
      <c r="E8" s="8" t="n">
        <v>15000</v>
      </c>
      <c r="F8" s="8" t="n">
        <v>15000</v>
      </c>
      <c r="G8" s="8" t="n">
        <v>15000</v>
      </c>
      <c r="H8" s="8" t="n">
        <v>15000</v>
      </c>
      <c r="I8" s="8" t="n">
        <v>15000</v>
      </c>
      <c r="J8" s="8" t="n">
        <v>15000</v>
      </c>
      <c r="K8" s="8" t="n">
        <v>15000</v>
      </c>
      <c r="L8" s="8" t="inlineStr"/>
    </row>
    <row r="9">
      <c r="A9" t="inlineStr">
        <is>
          <t>Материалы для ремонта лабораторного оборудования</t>
        </is>
      </c>
      <c r="B9" t="inlineStr">
        <is>
          <t>20704</t>
        </is>
      </c>
      <c r="C9" s="8" t="n">
        <v>8000</v>
      </c>
      <c r="D9" s="8" t="n">
        <v>8000</v>
      </c>
      <c r="E9" s="8" t="n">
        <v>8000</v>
      </c>
      <c r="F9" s="8" t="n">
        <v>8000</v>
      </c>
      <c r="G9" s="8" t="n">
        <v>8000</v>
      </c>
      <c r="H9" s="8" t="n">
        <v>8000</v>
      </c>
      <c r="I9" s="8" t="n">
        <v>8000</v>
      </c>
      <c r="J9" s="8" t="n">
        <v>8000</v>
      </c>
      <c r="K9" s="8" t="n">
        <v>8000</v>
      </c>
      <c r="L9" s="8" t="inlineStr"/>
    </row>
    <row r="10">
      <c r="A10" t="inlineStr">
        <is>
          <t>Материалы для ТОиР офисной техники</t>
        </is>
      </c>
      <c r="B10" t="inlineStr">
        <is>
          <t>20705</t>
        </is>
      </c>
      <c r="C10" s="8" t="n">
        <v>5000</v>
      </c>
      <c r="D10" s="8" t="n">
        <v>5000</v>
      </c>
      <c r="E10" s="8" t="n">
        <v>5000</v>
      </c>
      <c r="F10" s="8" t="n">
        <v>5000</v>
      </c>
      <c r="G10" s="8" t="n">
        <v>5000</v>
      </c>
      <c r="H10" s="8" t="n">
        <v>5000</v>
      </c>
      <c r="I10" s="8" t="n">
        <v>5000</v>
      </c>
      <c r="J10" s="8" t="n">
        <v>5000</v>
      </c>
      <c r="K10" s="8" t="n">
        <v>5000</v>
      </c>
      <c r="L10" s="8" t="inlineStr"/>
    </row>
    <row r="11">
      <c r="A11" t="inlineStr">
        <is>
          <t>Материалы для ТОиР зданий и сооружений</t>
        </is>
      </c>
      <c r="B11" t="inlineStr">
        <is>
          <t>20706</t>
        </is>
      </c>
      <c r="C11" s="8" t="n">
        <v>12000</v>
      </c>
      <c r="D11" s="8" t="n">
        <v>12000</v>
      </c>
      <c r="E11" s="8" t="n">
        <v>12000</v>
      </c>
      <c r="F11" s="8" t="n">
        <v>12000</v>
      </c>
      <c r="G11" s="8" t="n">
        <v>12000</v>
      </c>
      <c r="H11" s="8" t="n">
        <v>12000</v>
      </c>
      <c r="I11" s="8" t="n">
        <v>12000</v>
      </c>
      <c r="J11" s="8" t="n">
        <v>12000</v>
      </c>
      <c r="K11" s="8" t="n">
        <v>12000</v>
      </c>
      <c r="L11" s="8" t="inlineStr"/>
    </row>
    <row r="12">
      <c r="A12" t="inlineStr">
        <is>
          <t>Списания по техобслуживанию</t>
        </is>
      </c>
      <c r="B12" t="inlineStr">
        <is>
          <t>20707</t>
        </is>
      </c>
      <c r="C12" s="8" t="n">
        <v>3000</v>
      </c>
      <c r="D12" s="8" t="n">
        <v>3000</v>
      </c>
      <c r="E12" s="8" t="n">
        <v>3000</v>
      </c>
      <c r="F12" s="8" t="n">
        <v>3000</v>
      </c>
      <c r="G12" s="8" t="n">
        <v>3000</v>
      </c>
      <c r="H12" s="8" t="n">
        <v>3000</v>
      </c>
      <c r="I12" s="8" t="n">
        <v>3000</v>
      </c>
      <c r="J12" s="8" t="n">
        <v>3000</v>
      </c>
      <c r="K12" s="8" t="n">
        <v>3000</v>
      </c>
      <c r="L12" s="8" t="inlineStr"/>
    </row>
    <row r="13">
      <c r="A13" t="inlineStr">
        <is>
          <t>Труд сторонних подрядчиков</t>
        </is>
      </c>
      <c r="B13" t="inlineStr">
        <is>
          <t>20708</t>
        </is>
      </c>
      <c r="C13" s="8" t="n">
        <v>40000</v>
      </c>
      <c r="D13" s="8" t="n">
        <v>40000</v>
      </c>
      <c r="E13" s="8" t="n">
        <v>40000</v>
      </c>
      <c r="F13" s="8" t="n">
        <v>40000</v>
      </c>
      <c r="G13" s="8" t="n">
        <v>40000</v>
      </c>
      <c r="H13" s="8" t="n">
        <v>40000</v>
      </c>
      <c r="I13" s="8" t="n">
        <v>40000</v>
      </c>
      <c r="J13" s="8" t="n">
        <v>40000</v>
      </c>
      <c r="K13" s="8" t="n">
        <v>40000</v>
      </c>
      <c r="L13" s="8" t="inlineStr"/>
    </row>
    <row r="14">
      <c r="A14" t="inlineStr">
        <is>
          <t>Производственные расходники Упаковка</t>
        </is>
      </c>
      <c r="B14" t="inlineStr">
        <is>
          <t>20709</t>
        </is>
      </c>
      <c r="C14" s="8" t="n">
        <v>20000</v>
      </c>
      <c r="D14" s="8" t="n">
        <v>20000</v>
      </c>
      <c r="E14" s="8" t="n">
        <v>20000</v>
      </c>
      <c r="F14" s="8" t="n">
        <v>20000</v>
      </c>
      <c r="G14" s="8" t="n">
        <v>20000</v>
      </c>
      <c r="H14" s="8" t="n">
        <v>20000</v>
      </c>
      <c r="I14" s="8" t="n">
        <v>20000</v>
      </c>
      <c r="J14" s="8" t="n">
        <v>20000</v>
      </c>
      <c r="K14" s="8" t="n">
        <v>20000</v>
      </c>
      <c r="L14" s="8" t="inlineStr"/>
    </row>
    <row r="15">
      <c r="A15" t="inlineStr">
        <is>
          <t>Производственные расходники клеящие вещества</t>
        </is>
      </c>
      <c r="B15" t="inlineStr">
        <is>
          <t>20710</t>
        </is>
      </c>
      <c r="C15" s="8" t="n">
        <v>10000</v>
      </c>
      <c r="D15" s="8" t="n">
        <v>10000</v>
      </c>
      <c r="E15" s="8" t="n">
        <v>10000</v>
      </c>
      <c r="F15" s="8" t="n">
        <v>10000</v>
      </c>
      <c r="G15" s="8" t="n">
        <v>10000</v>
      </c>
      <c r="H15" s="8" t="n">
        <v>10000</v>
      </c>
      <c r="I15" s="8" t="n">
        <v>10000</v>
      </c>
      <c r="J15" s="8" t="n">
        <v>10000</v>
      </c>
      <c r="K15" s="8" t="n">
        <v>10000</v>
      </c>
      <c r="L15" s="8" t="inlineStr"/>
    </row>
    <row r="16">
      <c r="A16" t="inlineStr">
        <is>
          <t>Производственные расходники Химические моющие средства</t>
        </is>
      </c>
      <c r="B16" t="inlineStr">
        <is>
          <t>20711</t>
        </is>
      </c>
      <c r="C16" s="8" t="n">
        <v>7000</v>
      </c>
      <c r="D16" s="8" t="n">
        <v>7000</v>
      </c>
      <c r="E16" s="8" t="n">
        <v>7000</v>
      </c>
      <c r="F16" s="8" t="n">
        <v>7000</v>
      </c>
      <c r="G16" s="8" t="n">
        <v>7000</v>
      </c>
      <c r="H16" s="8" t="n">
        <v>7000</v>
      </c>
      <c r="I16" s="8" t="n">
        <v>7000</v>
      </c>
      <c r="J16" s="8" t="n">
        <v>7000</v>
      </c>
      <c r="K16" s="8" t="n">
        <v>7000</v>
      </c>
      <c r="L16" s="8" t="inlineStr"/>
    </row>
    <row r="17">
      <c r="A17" t="inlineStr">
        <is>
          <t>Техобслуживание — Аппаратное обеспечение</t>
        </is>
      </c>
      <c r="B17" t="inlineStr">
        <is>
          <t>21001</t>
        </is>
      </c>
      <c r="C17" s="8" t="n">
        <v>25000</v>
      </c>
      <c r="D17" s="8" t="n">
        <v>25000</v>
      </c>
      <c r="E17" s="8" t="n">
        <v>25000</v>
      </c>
      <c r="F17" s="8" t="n">
        <v>25000</v>
      </c>
      <c r="G17" s="8" t="n">
        <v>25000</v>
      </c>
      <c r="H17" s="8" t="n">
        <v>25000</v>
      </c>
      <c r="I17" s="8" t="n">
        <v>25000</v>
      </c>
      <c r="J17" s="8" t="n">
        <v>25000</v>
      </c>
      <c r="K17" s="8" t="n">
        <v>25000</v>
      </c>
      <c r="L17" s="8" t="inlineStr"/>
    </row>
    <row r="18">
      <c r="A18" t="inlineStr">
        <is>
          <t>Техобслуживание — Программное обеспечение</t>
        </is>
      </c>
      <c r="B18" t="inlineStr">
        <is>
          <t>21002</t>
        </is>
      </c>
      <c r="C18" s="8" t="n">
        <v>30000</v>
      </c>
      <c r="D18" s="8" t="n">
        <v>30000</v>
      </c>
      <c r="E18" s="8" t="n">
        <v>30000</v>
      </c>
      <c r="F18" s="8" t="n">
        <v>30000</v>
      </c>
      <c r="G18" s="8" t="n">
        <v>30000</v>
      </c>
      <c r="H18" s="8" t="n">
        <v>30000</v>
      </c>
      <c r="I18" s="8" t="n">
        <v>30000</v>
      </c>
      <c r="J18" s="8" t="n">
        <v>30000</v>
      </c>
      <c r="K18" s="8" t="n">
        <v>30000</v>
      </c>
      <c r="L18" s="8" t="inlineStr"/>
    </row>
    <row r="19">
      <c r="A19" t="inlineStr">
        <is>
          <t>IT-контрактные услуги</t>
        </is>
      </c>
      <c r="B19" t="inlineStr">
        <is>
          <t>21003</t>
        </is>
      </c>
      <c r="C19" s="8" t="n">
        <v>20000</v>
      </c>
      <c r="D19" s="8" t="n">
        <v>20000</v>
      </c>
      <c r="E19" s="8" t="n">
        <v>20000</v>
      </c>
      <c r="F19" s="8" t="n">
        <v>20000</v>
      </c>
      <c r="G19" s="8" t="n">
        <v>20000</v>
      </c>
      <c r="H19" s="8" t="n">
        <v>20000</v>
      </c>
      <c r="I19" s="8" t="n">
        <v>20000</v>
      </c>
      <c r="J19" s="8" t="n">
        <v>20000</v>
      </c>
      <c r="K19" s="8" t="n">
        <v>20000</v>
      </c>
      <c r="L19" s="8" t="inlineStr"/>
    </row>
    <row r="20">
      <c r="A20" t="inlineStr">
        <is>
          <t>Телекоммуникации — Телефоны и связь</t>
        </is>
      </c>
      <c r="B20" t="inlineStr">
        <is>
          <t>21004</t>
        </is>
      </c>
      <c r="C20" s="8" t="n">
        <v>8000</v>
      </c>
      <c r="D20" s="8" t="n">
        <v>8000</v>
      </c>
      <c r="E20" s="8" t="n">
        <v>8000</v>
      </c>
      <c r="F20" s="8" t="n">
        <v>8000</v>
      </c>
      <c r="G20" s="8" t="n">
        <v>8000</v>
      </c>
      <c r="H20" s="8" t="n">
        <v>8000</v>
      </c>
      <c r="I20" s="8" t="n">
        <v>8000</v>
      </c>
      <c r="J20" s="8" t="n">
        <v>8000</v>
      </c>
      <c r="K20" s="8" t="n">
        <v>8000</v>
      </c>
      <c r="L20" s="8" t="inlineStr"/>
    </row>
    <row r="21">
      <c r="A21" t="inlineStr">
        <is>
          <t>Расходные материалы — Покупка ПК</t>
        </is>
      </c>
      <c r="B21" t="inlineStr">
        <is>
          <t>21005</t>
        </is>
      </c>
      <c r="C21" s="8" t="n">
        <v>5000</v>
      </c>
      <c r="D21" s="8" t="n">
        <v>5000</v>
      </c>
      <c r="E21" s="8" t="n">
        <v>5000</v>
      </c>
      <c r="F21" s="8" t="n">
        <v>5000</v>
      </c>
      <c r="G21" s="8" t="n">
        <v>5000</v>
      </c>
      <c r="H21" s="8" t="n">
        <v>5000</v>
      </c>
      <c r="I21" s="8" t="n">
        <v>5000</v>
      </c>
      <c r="J21" s="8" t="n">
        <v>5000</v>
      </c>
      <c r="K21" s="8" t="n">
        <v>5000</v>
      </c>
      <c r="L21" s="8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5" customWidth="1" min="3" max="3"/>
    <col width="26" customWidth="1" min="4" max="4"/>
    <col width="22" customWidth="1" min="5" max="5"/>
    <col width="45" customWidth="1" min="6" max="6"/>
    <col width="21" customWidth="1" min="7" max="7"/>
    <col width="36" customWidth="1" min="8" max="8"/>
    <col hidden="1" width="12" customWidth="1" min="9" max="9"/>
  </cols>
  <sheetData>
    <row r="1">
      <c r="A1" s="9" t="inlineStr">
        <is>
          <t>ИТОГОВАЯ СВОДКА ПО ГОДУ (с формулами)</t>
        </is>
      </c>
    </row>
    <row r="2">
      <c r="A2" s="4" t="inlineStr">
        <is>
          <t>расход</t>
        </is>
      </c>
      <c r="B2" s="4" t="inlineStr">
        <is>
          <t>код статьи</t>
        </is>
      </c>
      <c r="C2" s="4" t="inlineStr">
        <is>
          <t>Бюджет (Год)</t>
        </is>
      </c>
      <c r="D2" s="4" t="inlineStr">
        <is>
          <t>Факт + Прогноз (Старый)</t>
        </is>
      </c>
      <c r="E2" s="4" t="inlineStr">
        <is>
          <t>Отклонение (Старый)</t>
        </is>
      </c>
      <c r="F2" s="4" t="inlineStr">
        <is>
          <t>Факт + Прогноз (Новый)</t>
        </is>
      </c>
      <c r="G2" s="4" t="inlineStr">
        <is>
          <t>Отклонение (Новый)</t>
        </is>
      </c>
      <c r="H2" s="4" t="inlineStr">
        <is>
          <t>Эффект от корректировки (Dif-Dif)</t>
        </is>
      </c>
      <c r="I2" s="4" t="inlineStr">
        <is>
          <t>_Факт</t>
        </is>
      </c>
    </row>
    <row r="3">
      <c r="A3" t="inlineStr">
        <is>
          <t>Вода + Стоки</t>
        </is>
      </c>
      <c r="B3" t="inlineStr">
        <is>
          <t>10201</t>
        </is>
      </c>
      <c r="C3" t="n">
        <v>327000</v>
      </c>
      <c r="D3" t="n">
        <v>303635</v>
      </c>
      <c r="E3" t="n">
        <v>-23365</v>
      </c>
      <c r="F3">
        <f>I3 + SUM('3. Обновление прогноза'!C3:K3)</f>
        <v/>
      </c>
      <c r="G3">
        <f>F3 - C3</f>
        <v/>
      </c>
      <c r="H3">
        <f>G3 - E3</f>
        <v/>
      </c>
      <c r="I3" t="n">
        <v>51635</v>
      </c>
    </row>
    <row r="4">
      <c r="A4" t="inlineStr">
        <is>
          <t>Электричество</t>
        </is>
      </c>
      <c r="B4" t="inlineStr">
        <is>
          <t>10202</t>
        </is>
      </c>
      <c r="C4" t="n">
        <v>1064000</v>
      </c>
      <c r="D4" t="n">
        <v>1086741</v>
      </c>
      <c r="E4" t="n">
        <v>22741</v>
      </c>
      <c r="F4">
        <f>I4 + SUM('3. Обновление прогноза'!C4:K4)</f>
        <v/>
      </c>
      <c r="G4">
        <f>F4 - C4</f>
        <v/>
      </c>
      <c r="H4">
        <f>G4 - E4</f>
        <v/>
      </c>
      <c r="I4" t="n">
        <v>262741</v>
      </c>
    </row>
    <row r="5">
      <c r="A5" t="inlineStr">
        <is>
          <t>Газ</t>
        </is>
      </c>
      <c r="B5" t="inlineStr">
        <is>
          <t>10203</t>
        </is>
      </c>
      <c r="C5" t="n">
        <v>453000</v>
      </c>
      <c r="D5" t="n">
        <v>399964</v>
      </c>
      <c r="E5" t="n">
        <v>-53036</v>
      </c>
      <c r="F5">
        <f>I5 + SUM('3. Обновление прогноза'!C5:K5)</f>
        <v/>
      </c>
      <c r="G5">
        <f>F5 - C5</f>
        <v/>
      </c>
      <c r="H5">
        <f>G5 - E5</f>
        <v/>
      </c>
      <c r="I5" t="n">
        <v>81964</v>
      </c>
    </row>
    <row r="6">
      <c r="A6" t="inlineStr">
        <is>
          <t>Услуги по техобслуживанию</t>
        </is>
      </c>
      <c r="B6" t="inlineStr">
        <is>
          <t>20701</t>
        </is>
      </c>
      <c r="C6" t="n">
        <v>600000</v>
      </c>
      <c r="D6" t="n">
        <v>588897</v>
      </c>
      <c r="E6" t="n">
        <v>-11103</v>
      </c>
      <c r="F6">
        <f>I6 + SUM('3. Обновление прогноза'!C6:K6)</f>
        <v/>
      </c>
      <c r="G6">
        <f>F6 - C6</f>
        <v/>
      </c>
      <c r="H6">
        <f>G6 - E6</f>
        <v/>
      </c>
      <c r="I6" t="n">
        <v>138897</v>
      </c>
    </row>
    <row r="7">
      <c r="A7" t="inlineStr">
        <is>
          <t>Материалы для ТОиР промышленного оборудования со склада</t>
        </is>
      </c>
      <c r="B7" t="inlineStr">
        <is>
          <t>20702</t>
        </is>
      </c>
      <c r="C7" t="n">
        <v>300000</v>
      </c>
      <c r="D7" t="n">
        <v>306930</v>
      </c>
      <c r="E7" t="n">
        <v>6930</v>
      </c>
      <c r="F7">
        <f>I7 + SUM('3. Обновление прогноза'!C7:K7)</f>
        <v/>
      </c>
      <c r="G7">
        <f>F7 - C7</f>
        <v/>
      </c>
      <c r="H7">
        <f>G7 - E7</f>
        <v/>
      </c>
      <c r="I7" t="n">
        <v>81930</v>
      </c>
    </row>
    <row r="8">
      <c r="A8" t="inlineStr">
        <is>
          <t>Материалы для ТОиР промышленного оборудования вне склада</t>
        </is>
      </c>
      <c r="B8" t="inlineStr">
        <is>
          <t>20703</t>
        </is>
      </c>
      <c r="C8" t="n">
        <v>180000</v>
      </c>
      <c r="D8" t="n">
        <v>184190</v>
      </c>
      <c r="E8" t="n">
        <v>4190</v>
      </c>
      <c r="F8">
        <f>I8 + SUM('3. Обновление прогноза'!C8:K8)</f>
        <v/>
      </c>
      <c r="G8">
        <f>F8 - C8</f>
        <v/>
      </c>
      <c r="H8">
        <f>G8 - E8</f>
        <v/>
      </c>
      <c r="I8" t="n">
        <v>49190</v>
      </c>
    </row>
    <row r="9">
      <c r="A9" t="inlineStr">
        <is>
          <t>Материалы для ремонта лабораторного оборудования</t>
        </is>
      </c>
      <c r="B9" t="inlineStr">
        <is>
          <t>20704</t>
        </is>
      </c>
      <c r="C9" t="n">
        <v>96000</v>
      </c>
      <c r="D9" t="n">
        <v>97614</v>
      </c>
      <c r="E9" t="n">
        <v>1614</v>
      </c>
      <c r="F9">
        <f>I9 + SUM('3. Обновление прогноза'!C9:K9)</f>
        <v/>
      </c>
      <c r="G9">
        <f>F9 - C9</f>
        <v/>
      </c>
      <c r="H9">
        <f>G9 - E9</f>
        <v/>
      </c>
      <c r="I9" t="n">
        <v>25614</v>
      </c>
    </row>
    <row r="10">
      <c r="A10" t="inlineStr">
        <is>
          <t>Материалы для ТОиР офисной техники</t>
        </is>
      </c>
      <c r="B10" t="inlineStr">
        <is>
          <t>20705</t>
        </is>
      </c>
      <c r="C10" t="n">
        <v>60000</v>
      </c>
      <c r="D10" t="n">
        <v>59404</v>
      </c>
      <c r="E10" t="n">
        <v>-596</v>
      </c>
      <c r="F10">
        <f>I10 + SUM('3. Обновление прогноза'!C10:K10)</f>
        <v/>
      </c>
      <c r="G10">
        <f>F10 - C10</f>
        <v/>
      </c>
      <c r="H10">
        <f>G10 - E10</f>
        <v/>
      </c>
      <c r="I10" t="n">
        <v>14404</v>
      </c>
    </row>
    <row r="11">
      <c r="A11" t="inlineStr">
        <is>
          <t>Материалы для ТОиР зданий и сооружений</t>
        </is>
      </c>
      <c r="B11" t="inlineStr">
        <is>
          <t>20706</t>
        </is>
      </c>
      <c r="C11" t="n">
        <v>144000</v>
      </c>
      <c r="D11" t="n">
        <v>146479</v>
      </c>
      <c r="E11" t="n">
        <v>2479</v>
      </c>
      <c r="F11">
        <f>I11 + SUM('3. Обновление прогноза'!C11:K11)</f>
        <v/>
      </c>
      <c r="G11">
        <f>F11 - C11</f>
        <v/>
      </c>
      <c r="H11">
        <f>G11 - E11</f>
        <v/>
      </c>
      <c r="I11" t="n">
        <v>38479</v>
      </c>
    </row>
    <row r="12">
      <c r="A12" t="inlineStr">
        <is>
          <t>Списания по техобслуживанию</t>
        </is>
      </c>
      <c r="B12" t="inlineStr">
        <is>
          <t>20707</t>
        </is>
      </c>
      <c r="C12" t="n">
        <v>36000</v>
      </c>
      <c r="D12" t="n">
        <v>35839</v>
      </c>
      <c r="E12" t="n">
        <v>-161</v>
      </c>
      <c r="F12">
        <f>I12 + SUM('3. Обновление прогноза'!C12:K12)</f>
        <v/>
      </c>
      <c r="G12">
        <f>F12 - C12</f>
        <v/>
      </c>
      <c r="H12">
        <f>G12 - E12</f>
        <v/>
      </c>
      <c r="I12" t="n">
        <v>8839</v>
      </c>
    </row>
    <row r="13">
      <c r="A13" t="inlineStr">
        <is>
          <t>Труд сторонних подрядчиков</t>
        </is>
      </c>
      <c r="B13" t="inlineStr">
        <is>
          <t>20708</t>
        </is>
      </c>
      <c r="C13" t="n">
        <v>480000</v>
      </c>
      <c r="D13" t="n">
        <v>475078</v>
      </c>
      <c r="E13" t="n">
        <v>-4922</v>
      </c>
      <c r="F13">
        <f>I13 + SUM('3. Обновление прогноза'!C13:K13)</f>
        <v/>
      </c>
      <c r="G13">
        <f>F13 - C13</f>
        <v/>
      </c>
      <c r="H13">
        <f>G13 - E13</f>
        <v/>
      </c>
      <c r="I13" t="n">
        <v>115078</v>
      </c>
    </row>
    <row r="14">
      <c r="A14" t="inlineStr">
        <is>
          <t>Производственные расходники Упаковка</t>
        </is>
      </c>
      <c r="B14" t="inlineStr">
        <is>
          <t>20709</t>
        </is>
      </c>
      <c r="C14" t="n">
        <v>240000</v>
      </c>
      <c r="D14" t="n">
        <v>218655</v>
      </c>
      <c r="E14" t="n">
        <v>-21345</v>
      </c>
      <c r="F14">
        <f>I14 + SUM('3. Обновление прогноза'!C14:K14)</f>
        <v/>
      </c>
      <c r="G14">
        <f>F14 - C14</f>
        <v/>
      </c>
      <c r="H14">
        <f>G14 - E14</f>
        <v/>
      </c>
      <c r="I14" t="n">
        <v>38655</v>
      </c>
    </row>
    <row r="15">
      <c r="A15" t="inlineStr">
        <is>
          <t>Производственные расходники клеящие вещества</t>
        </is>
      </c>
      <c r="B15" t="inlineStr">
        <is>
          <t>20710</t>
        </is>
      </c>
      <c r="C15" t="n">
        <v>120000</v>
      </c>
      <c r="D15" t="n">
        <v>121122</v>
      </c>
      <c r="E15" t="n">
        <v>1122</v>
      </c>
      <c r="F15">
        <f>I15 + SUM('3. Обновление прогноза'!C15:K15)</f>
        <v/>
      </c>
      <c r="G15">
        <f>F15 - C15</f>
        <v/>
      </c>
      <c r="H15">
        <f>G15 - E15</f>
        <v/>
      </c>
      <c r="I15" t="n">
        <v>31122</v>
      </c>
    </row>
    <row r="16">
      <c r="A16" t="inlineStr">
        <is>
          <t>Производственные расходники Химические моющие средства</t>
        </is>
      </c>
      <c r="B16" t="inlineStr">
        <is>
          <t>20711</t>
        </is>
      </c>
      <c r="C16" t="n">
        <v>84000</v>
      </c>
      <c r="D16" t="n">
        <v>85037</v>
      </c>
      <c r="E16" t="n">
        <v>1037</v>
      </c>
      <c r="F16">
        <f>I16 + SUM('3. Обновление прогноза'!C16:K16)</f>
        <v/>
      </c>
      <c r="G16">
        <f>F16 - C16</f>
        <v/>
      </c>
      <c r="H16">
        <f>G16 - E16</f>
        <v/>
      </c>
      <c r="I16" t="n">
        <v>22037</v>
      </c>
    </row>
    <row r="17">
      <c r="A17" t="inlineStr">
        <is>
          <t>Техобслуживание — Аппаратное обеспечение</t>
        </is>
      </c>
      <c r="B17" t="inlineStr">
        <is>
          <t>21001</t>
        </is>
      </c>
      <c r="C17" t="n">
        <v>300000</v>
      </c>
      <c r="D17" t="n">
        <v>300651</v>
      </c>
      <c r="E17" t="n">
        <v>651</v>
      </c>
      <c r="F17">
        <f>I17 + SUM('3. Обновление прогноза'!C17:K17)</f>
        <v/>
      </c>
      <c r="G17">
        <f>F17 - C17</f>
        <v/>
      </c>
      <c r="H17">
        <f>G17 - E17</f>
        <v/>
      </c>
      <c r="I17" t="n">
        <v>75651</v>
      </c>
    </row>
    <row r="18">
      <c r="A18" t="inlineStr">
        <is>
          <t>Техобслуживание — Программное обеспечение</t>
        </is>
      </c>
      <c r="B18" t="inlineStr">
        <is>
          <t>21002</t>
        </is>
      </c>
      <c r="C18" t="n">
        <v>360000</v>
      </c>
      <c r="D18" t="n">
        <v>358621</v>
      </c>
      <c r="E18" t="n">
        <v>-1379</v>
      </c>
      <c r="F18">
        <f>I18 + SUM('3. Обновление прогноза'!C18:K18)</f>
        <v/>
      </c>
      <c r="G18">
        <f>F18 - C18</f>
        <v/>
      </c>
      <c r="H18">
        <f>G18 - E18</f>
        <v/>
      </c>
      <c r="I18" t="n">
        <v>88621</v>
      </c>
    </row>
    <row r="19">
      <c r="A19" t="inlineStr">
        <is>
          <t>IT-контрактные услуги</t>
        </is>
      </c>
      <c r="B19" t="inlineStr">
        <is>
          <t>21003</t>
        </is>
      </c>
      <c r="C19" t="n">
        <v>240000</v>
      </c>
      <c r="D19" t="n">
        <v>236648</v>
      </c>
      <c r="E19" t="n">
        <v>-3352</v>
      </c>
      <c r="F19">
        <f>I19 + SUM('3. Обновление прогноза'!C19:K19)</f>
        <v/>
      </c>
      <c r="G19">
        <f>F19 - C19</f>
        <v/>
      </c>
      <c r="H19">
        <f>G19 - E19</f>
        <v/>
      </c>
      <c r="I19" t="n">
        <v>56648</v>
      </c>
    </row>
    <row r="20">
      <c r="A20" t="inlineStr">
        <is>
          <t>Телекоммуникации — Телефоны и связь</t>
        </is>
      </c>
      <c r="B20" t="inlineStr">
        <is>
          <t>21004</t>
        </is>
      </c>
      <c r="C20" t="n">
        <v>96000</v>
      </c>
      <c r="D20" t="n">
        <v>95814</v>
      </c>
      <c r="E20" t="n">
        <v>-186</v>
      </c>
      <c r="F20">
        <f>I20 + SUM('3. Обновление прогноза'!C20:K20)</f>
        <v/>
      </c>
      <c r="G20">
        <f>F20 - C20</f>
        <v/>
      </c>
      <c r="H20">
        <f>G20 - E20</f>
        <v/>
      </c>
      <c r="I20" t="n">
        <v>23814</v>
      </c>
    </row>
    <row r="21">
      <c r="A21" t="inlineStr">
        <is>
          <t>Расходные материалы — Покупка ПК</t>
        </is>
      </c>
      <c r="B21" t="inlineStr">
        <is>
          <t>21005</t>
        </is>
      </c>
      <c r="C21" t="n">
        <v>60000</v>
      </c>
      <c r="D21" t="n">
        <v>60130</v>
      </c>
      <c r="E21" t="n">
        <v>130</v>
      </c>
      <c r="F21">
        <f>I21 + SUM('3. Обновление прогноза'!C21:K21)</f>
        <v/>
      </c>
      <c r="G21">
        <f>F21 - C21</f>
        <v/>
      </c>
      <c r="H21">
        <f>G21 - E21</f>
        <v/>
      </c>
      <c r="I21" t="n">
        <v>15130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2026-10-24T06:28:45Z</dcterms:created>
  <dcterms:modified xsi:type="dcterms:W3CDTF">2026-10-24T06:28:45Z</dcterms:modified>
</cp:coreProperties>
</file>