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нструкция" sheetId="1" state="visible" r:id="rId1"/>
    <sheet name="2. Факт vs Прогноз" sheetId="2" state="visible" r:id="rId2"/>
    <sheet name="3. Обновление прогноза" sheetId="3" state="visible" r:id="rId3"/>
    <sheet name="4. Сводка по год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2" borderId="0" applyProtection="1" pivotButton="0" quotePrefix="0" xfId="0">
      <protection locked="0" hidden="0"/>
    </xf>
    <xf numFmtId="0" fontId="0" fillId="3" borderId="0" pivotButton="0" quotePrefix="0" xfId="0"/>
    <xf numFmtId="0" fontId="0" fillId="4" borderId="0" pivotButton="0" quotePrefix="0" xfId="0"/>
    <xf numFmtId="0" fontId="0" fillId="5" borderId="0" applyProtection="1" pivotButton="0" quotePrefix="0" xfId="0">
      <protection locked="0" hidden="0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5" customWidth="1" min="2" max="2"/>
  </cols>
  <sheetData>
    <row r="1"/>
    <row r="2">
      <c r="B2" s="1" t="inlineStr">
        <is>
          <t>ИНСТРУКЦИЯ ПО ЗАПОЛНЕНИЮ ОТЧЕТА</t>
        </is>
      </c>
    </row>
    <row r="3"/>
    <row r="4">
      <c r="B4" s="2" t="inlineStr">
        <is>
          <t>Уважаемый руководитель департамента!</t>
        </is>
      </c>
    </row>
    <row r="5">
      <c r="B5" s="2" t="inlineStr"/>
    </row>
    <row r="6">
      <c r="B6" s="2" t="inlineStr">
        <is>
          <t>Вам необходимо заполнить желтые и голубые ячейки на листах 2 и 3.</t>
        </is>
      </c>
    </row>
    <row r="7">
      <c r="B7" s="2" t="inlineStr"/>
    </row>
    <row r="8">
      <c r="B8" s="3" t="inlineStr">
        <is>
          <t>ЛИСТ 2 'ФАКТ VS ПРОГНОЗ':</t>
        </is>
      </c>
    </row>
    <row r="9">
      <c r="B9" s="2" t="inlineStr">
        <is>
          <t>1. Ознакомьтесь с фактом за текущий месяц.</t>
        </is>
      </c>
    </row>
    <row r="10">
      <c r="B10" s="2" t="inlineStr">
        <is>
          <t>2. В крайней правой колонке (голубой фон) напишите причину отклонения факта.</t>
        </is>
      </c>
    </row>
    <row r="11">
      <c r="B11" s="2" t="inlineStr"/>
    </row>
    <row r="12">
      <c r="B12" s="3" t="inlineStr">
        <is>
          <t>ЛИСТ 3 'ОБНОВЛЕНИЕ ПРОГНОЗА':</t>
        </is>
      </c>
    </row>
    <row r="13">
      <c r="B13" s="2" t="inlineStr">
        <is>
          <t>1. Пересмотрите прогноз на будущие месяцы (до конца года).</t>
        </is>
      </c>
    </row>
    <row r="14">
      <c r="B14" s="2" t="inlineStr">
        <is>
          <t>2. Впишите новые суммы в желтые ячейки.</t>
        </is>
      </c>
    </row>
    <row r="15">
      <c r="B15" s="2" t="inlineStr">
        <is>
          <t>3. В крайней правой колонке объясните, почему прогноз изменился.</t>
        </is>
      </c>
    </row>
    <row r="16">
      <c r="B16" s="2" t="inlineStr"/>
    </row>
    <row r="17">
      <c r="B17" s="3" t="inlineStr">
        <is>
          <t>ЛИСТ 4 'СВОДКА ПО ГОДУ':</t>
        </is>
      </c>
    </row>
    <row r="18">
      <c r="B18" s="2" t="inlineStr">
        <is>
          <t>Здесь автоматически формируется годовой итог. Как только вы измените цифры на Листе 3, итоги на Листе 4 пересчитаются автоматически.</t>
        </is>
      </c>
    </row>
    <row r="19">
      <c r="B19" s="2" t="inlineStr"/>
    </row>
    <row r="20">
      <c r="B20" s="2" t="inlineStr">
        <is>
          <t>Обратите внимание: остальные колонки защищены от редактирования.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7" customWidth="1" min="3" max="3"/>
    <col width="14" customWidth="1" min="4" max="4"/>
    <col width="20" customWidth="1" min="5" max="5"/>
    <col width="22" customWidth="1" min="6" max="6"/>
    <col width="23" customWidth="1" min="7" max="7"/>
  </cols>
  <sheetData>
    <row r="1">
      <c r="A1" s="4" t="n"/>
      <c r="B1" s="4" t="n"/>
      <c r="C1" s="4" t="n"/>
      <c r="D1" s="4" t="n"/>
      <c r="E1" s="4" t="n"/>
      <c r="F1" s="4" t="n"/>
      <c r="G1" s="5" t="n"/>
    </row>
    <row r="2">
      <c r="A2" t="inlineStr">
        <is>
          <t>расход</t>
        </is>
      </c>
      <c r="B2" t="inlineStr">
        <is>
          <t>код статьи</t>
        </is>
      </c>
      <c r="C2" t="inlineStr">
        <is>
          <t>Прогноз (март)</t>
        </is>
      </c>
      <c r="D2" t="inlineStr">
        <is>
          <t>Факт (март)</t>
        </is>
      </c>
      <c r="E2" t="inlineStr">
        <is>
          <t>Отклонение (март)</t>
        </is>
      </c>
      <c r="F2" t="inlineStr">
        <is>
          <t>Отклонение % (март)</t>
        </is>
      </c>
      <c r="G2" s="6" t="inlineStr">
        <is>
          <t>Комментарий по факту</t>
        </is>
      </c>
    </row>
    <row r="3">
      <c r="A3" t="inlineStr">
        <is>
          <t>Оклад</t>
        </is>
      </c>
      <c r="B3" t="inlineStr">
        <is>
          <t>10101</t>
        </is>
      </c>
      <c r="C3" t="n">
        <v>125000</v>
      </c>
      <c r="D3" t="n">
        <v>126687</v>
      </c>
      <c r="E3" t="n">
        <v>1687</v>
      </c>
      <c r="F3" t="n">
        <v>1.3</v>
      </c>
      <c r="G3" s="6" t="inlineStr"/>
    </row>
    <row r="4">
      <c r="A4" t="inlineStr">
        <is>
          <t>Ежемесячная премия</t>
        </is>
      </c>
      <c r="B4" t="inlineStr">
        <is>
          <t>10102</t>
        </is>
      </c>
      <c r="C4" t="n">
        <v>16000</v>
      </c>
      <c r="D4" t="n">
        <v>0</v>
      </c>
      <c r="E4" t="n">
        <v>-16000</v>
      </c>
      <c r="F4" s="7" t="n">
        <v>-100</v>
      </c>
      <c r="G4" s="6" t="inlineStr"/>
    </row>
    <row r="5">
      <c r="A5" t="inlineStr">
        <is>
          <t>Сверхурочные</t>
        </is>
      </c>
      <c r="B5" t="inlineStr">
        <is>
          <t>10103</t>
        </is>
      </c>
      <c r="C5" t="n">
        <v>6000</v>
      </c>
      <c r="D5" t="n">
        <v>6713</v>
      </c>
      <c r="E5" t="n">
        <v>713</v>
      </c>
      <c r="F5" s="8" t="n">
        <v>11.9</v>
      </c>
      <c r="G5" s="6" t="inlineStr"/>
    </row>
    <row r="6">
      <c r="A6" t="inlineStr">
        <is>
          <t>Налоги на ЗП</t>
        </is>
      </c>
      <c r="B6" t="inlineStr">
        <is>
          <t>10104</t>
        </is>
      </c>
      <c r="C6" t="n">
        <v>37500</v>
      </c>
      <c r="D6" t="n">
        <v>38679</v>
      </c>
      <c r="E6" t="n">
        <v>1179</v>
      </c>
      <c r="F6" t="n">
        <v>3.1</v>
      </c>
      <c r="G6" s="6" t="inlineStr"/>
    </row>
    <row r="7">
      <c r="A7" t="inlineStr">
        <is>
          <t>Бонус</t>
        </is>
      </c>
      <c r="B7" t="inlineStr">
        <is>
          <t>10105</t>
        </is>
      </c>
      <c r="C7" t="n">
        <v>10000</v>
      </c>
      <c r="D7" t="n">
        <v>9834</v>
      </c>
      <c r="E7" t="n">
        <v>-166</v>
      </c>
      <c r="F7" t="n">
        <v>-1.7</v>
      </c>
      <c r="G7" s="6" t="inlineStr"/>
    </row>
    <row r="8">
      <c r="A8" t="inlineStr">
        <is>
          <t>Изменение резерва под отпуск</t>
        </is>
      </c>
      <c r="B8" t="inlineStr">
        <is>
          <t>10106</t>
        </is>
      </c>
      <c r="C8" t="n">
        <v>9000</v>
      </c>
      <c r="D8" t="n">
        <v>8332</v>
      </c>
      <c r="E8" t="n">
        <v>-668</v>
      </c>
      <c r="F8" t="n">
        <v>-7.4</v>
      </c>
      <c r="G8" s="6" t="inlineStr"/>
    </row>
    <row r="9">
      <c r="A9" t="inlineStr">
        <is>
          <t>Налог на резерв</t>
        </is>
      </c>
      <c r="B9" t="inlineStr">
        <is>
          <t>10107</t>
        </is>
      </c>
      <c r="C9" t="n">
        <v>2700</v>
      </c>
      <c r="D9" t="n">
        <v>2828</v>
      </c>
      <c r="E9" t="n">
        <v>128</v>
      </c>
      <c r="F9" t="n">
        <v>4.7</v>
      </c>
      <c r="G9" s="6" t="inlineStr"/>
    </row>
    <row r="10">
      <c r="A10" t="inlineStr">
        <is>
          <t>Увольнительные</t>
        </is>
      </c>
      <c r="B10" t="inlineStr">
        <is>
          <t>10108</t>
        </is>
      </c>
      <c r="C10" t="n">
        <v>5000</v>
      </c>
      <c r="D10" t="n">
        <v>4590</v>
      </c>
      <c r="E10" t="n">
        <v>-410</v>
      </c>
      <c r="F10" t="n">
        <v>-8.199999999999999</v>
      </c>
      <c r="G10" s="6" t="inlineStr"/>
    </row>
    <row r="11">
      <c r="A11" t="inlineStr">
        <is>
          <t>Прочие компенсации</t>
        </is>
      </c>
      <c r="B11" t="inlineStr">
        <is>
          <t>10109</t>
        </is>
      </c>
      <c r="C11" t="n">
        <v>3500</v>
      </c>
      <c r="D11" t="n">
        <v>3945</v>
      </c>
      <c r="E11" t="n">
        <v>445</v>
      </c>
      <c r="F11" s="8" t="n">
        <v>12.7</v>
      </c>
      <c r="G11" s="6" t="inlineStr"/>
    </row>
    <row r="12">
      <c r="A12" t="inlineStr">
        <is>
          <t>ДМС</t>
        </is>
      </c>
      <c r="B12" t="inlineStr">
        <is>
          <t>10110</t>
        </is>
      </c>
      <c r="C12" t="n">
        <v>12000</v>
      </c>
      <c r="D12" t="n">
        <v>11444</v>
      </c>
      <c r="E12" t="n">
        <v>-556</v>
      </c>
      <c r="F12" t="n">
        <v>-4.6</v>
      </c>
      <c r="G12" s="6" t="inlineStr"/>
    </row>
    <row r="13">
      <c r="A13" t="inlineStr">
        <is>
          <t>Страхование жизни</t>
        </is>
      </c>
      <c r="B13" t="inlineStr">
        <is>
          <t>10111</t>
        </is>
      </c>
      <c r="C13" t="n">
        <v>4000</v>
      </c>
      <c r="D13" t="n">
        <v>0</v>
      </c>
      <c r="E13" t="n">
        <v>-4000</v>
      </c>
      <c r="F13" s="7" t="n">
        <v>-100</v>
      </c>
      <c r="G13" s="6" t="inlineStr"/>
    </row>
    <row r="14">
      <c r="A14" t="inlineStr">
        <is>
          <t>Выходное пособие</t>
        </is>
      </c>
      <c r="B14" t="inlineStr">
        <is>
          <t>10112</t>
        </is>
      </c>
      <c r="C14" t="n">
        <v>0</v>
      </c>
      <c r="D14" t="n">
        <v>0</v>
      </c>
      <c r="E14" t="n">
        <v>0</v>
      </c>
      <c r="F14" t="n">
        <v>0</v>
      </c>
      <c r="G14" s="6" t="inlineStr"/>
    </row>
    <row r="15">
      <c r="A15" t="inlineStr">
        <is>
          <t>Оклад</t>
        </is>
      </c>
      <c r="B15" t="inlineStr">
        <is>
          <t>20101</t>
        </is>
      </c>
      <c r="C15" t="n">
        <v>400000</v>
      </c>
      <c r="D15" t="n">
        <v>393503</v>
      </c>
      <c r="E15" t="n">
        <v>-6497</v>
      </c>
      <c r="F15" t="n">
        <v>-1.6</v>
      </c>
      <c r="G15" s="6" t="inlineStr"/>
    </row>
    <row r="16">
      <c r="A16" t="inlineStr">
        <is>
          <t>Премия</t>
        </is>
      </c>
      <c r="B16" t="inlineStr">
        <is>
          <t>20102</t>
        </is>
      </c>
      <c r="C16" t="n">
        <v>50000</v>
      </c>
      <c r="D16" t="n">
        <v>52719</v>
      </c>
      <c r="E16" t="n">
        <v>2719</v>
      </c>
      <c r="F16" t="n">
        <v>5.4</v>
      </c>
      <c r="G16" s="6" t="inlineStr"/>
    </row>
    <row r="17">
      <c r="A17" t="inlineStr">
        <is>
          <t>Сверхурочная оплата</t>
        </is>
      </c>
      <c r="B17" t="inlineStr">
        <is>
          <t>20103</t>
        </is>
      </c>
      <c r="C17" t="n">
        <v>12000</v>
      </c>
      <c r="D17" t="n">
        <v>0</v>
      </c>
      <c r="E17" t="n">
        <v>-12000</v>
      </c>
      <c r="F17" s="7" t="n">
        <v>-100</v>
      </c>
      <c r="G17" s="6" t="inlineStr"/>
    </row>
    <row r="18">
      <c r="A18" t="inlineStr">
        <is>
          <t>Налоги на ЗП</t>
        </is>
      </c>
      <c r="B18" t="inlineStr">
        <is>
          <t>20104</t>
        </is>
      </c>
      <c r="C18" t="n">
        <v>138000</v>
      </c>
      <c r="D18" t="n">
        <v>131920</v>
      </c>
      <c r="E18" t="n">
        <v>-6080</v>
      </c>
      <c r="F18" t="n">
        <v>-4.4</v>
      </c>
      <c r="G18" s="6" t="inlineStr"/>
    </row>
    <row r="19">
      <c r="A19" t="inlineStr">
        <is>
          <t>Отпускные</t>
        </is>
      </c>
      <c r="B19" t="inlineStr">
        <is>
          <t>20105</t>
        </is>
      </c>
      <c r="C19" t="n">
        <v>35000</v>
      </c>
      <c r="D19" t="n">
        <v>39604</v>
      </c>
      <c r="E19" t="n">
        <v>4604</v>
      </c>
      <c r="F19" s="8" t="n">
        <v>13.2</v>
      </c>
      <c r="G19" s="6" t="inlineStr"/>
    </row>
    <row r="20">
      <c r="A20" t="inlineStr">
        <is>
          <t>Выходное пособие</t>
        </is>
      </c>
      <c r="B20" t="inlineStr">
        <is>
          <t>20106</t>
        </is>
      </c>
      <c r="C20" t="n">
        <v>0</v>
      </c>
      <c r="D20" t="n">
        <v>0</v>
      </c>
      <c r="E20" t="n">
        <v>0</v>
      </c>
      <c r="F20" t="n">
        <v>0</v>
      </c>
      <c r="G20" s="6" t="inlineStr"/>
    </row>
    <row r="21">
      <c r="A21" t="inlineStr">
        <is>
          <t>компенсация проезда</t>
        </is>
      </c>
      <c r="B21" t="inlineStr">
        <is>
          <t>20107</t>
        </is>
      </c>
      <c r="C21" t="n">
        <v>15000</v>
      </c>
      <c r="D21" t="n">
        <v>16868</v>
      </c>
      <c r="E21" t="n">
        <v>1868</v>
      </c>
      <c r="F21" s="8" t="n">
        <v>12.5</v>
      </c>
      <c r="G21" s="6" t="inlineStr"/>
    </row>
    <row r="22">
      <c r="A22" t="inlineStr">
        <is>
          <t>ДМС</t>
        </is>
      </c>
      <c r="B22" t="inlineStr">
        <is>
          <t>20108</t>
        </is>
      </c>
      <c r="C22" t="n">
        <v>60000</v>
      </c>
      <c r="D22" t="n">
        <v>0</v>
      </c>
      <c r="E22" t="n">
        <v>-60000</v>
      </c>
      <c r="F22" s="7" t="n">
        <v>-100</v>
      </c>
      <c r="G22" s="6" t="inlineStr"/>
    </row>
    <row r="23">
      <c r="A23" t="inlineStr">
        <is>
          <t>Страхование жизни</t>
        </is>
      </c>
      <c r="B23" t="inlineStr">
        <is>
          <t>20109</t>
        </is>
      </c>
      <c r="C23" t="n">
        <v>20000</v>
      </c>
      <c r="D23" t="n">
        <v>22259</v>
      </c>
      <c r="E23" t="n">
        <v>2259</v>
      </c>
      <c r="F23" s="8" t="n">
        <v>11.3</v>
      </c>
      <c r="G23" s="6" t="inlineStr"/>
    </row>
    <row r="24">
      <c r="A24" t="inlineStr">
        <is>
          <t>Корпоративные мероприятия</t>
        </is>
      </c>
      <c r="B24" t="inlineStr">
        <is>
          <t>20301</t>
        </is>
      </c>
      <c r="C24" t="n">
        <v>0</v>
      </c>
      <c r="D24" t="n">
        <v>0</v>
      </c>
      <c r="E24" t="n">
        <v>0</v>
      </c>
      <c r="F24" t="n">
        <v>0</v>
      </c>
      <c r="G24" s="6" t="inlineStr"/>
    </row>
    <row r="25">
      <c r="A25" t="inlineStr">
        <is>
          <t>Расходы на столовую</t>
        </is>
      </c>
      <c r="B25" t="inlineStr">
        <is>
          <t>20801</t>
        </is>
      </c>
      <c r="C25" t="n">
        <v>30000</v>
      </c>
      <c r="D25" t="n">
        <v>25966</v>
      </c>
      <c r="E25" t="n">
        <v>-4034</v>
      </c>
      <c r="F25" s="7" t="n">
        <v>-13.4</v>
      </c>
      <c r="G25" s="6" t="inlineStr"/>
    </row>
    <row r="26">
      <c r="A26" t="inlineStr">
        <is>
          <t>Одежда (спецодежда)</t>
        </is>
      </c>
      <c r="B26" t="inlineStr">
        <is>
          <t>20802</t>
        </is>
      </c>
      <c r="C26" t="n">
        <v>5000</v>
      </c>
      <c r="D26" t="n">
        <v>4788</v>
      </c>
      <c r="E26" t="n">
        <v>-212</v>
      </c>
      <c r="F26" t="n">
        <v>-4.2</v>
      </c>
      <c r="G26" s="6" t="inlineStr"/>
    </row>
    <row r="27">
      <c r="A27" t="inlineStr">
        <is>
          <t>Товары для охраны здоровья и безопасности</t>
        </is>
      </c>
      <c r="B27" t="inlineStr">
        <is>
          <t>20803</t>
        </is>
      </c>
      <c r="C27" t="n">
        <v>4000</v>
      </c>
      <c r="D27" t="n">
        <v>4267</v>
      </c>
      <c r="E27" t="n">
        <v>267</v>
      </c>
      <c r="F27" t="n">
        <v>6.7</v>
      </c>
      <c r="G27" s="6" t="inlineStr"/>
    </row>
    <row r="28">
      <c r="A28" t="inlineStr">
        <is>
          <t>Подбор персонала</t>
        </is>
      </c>
      <c r="B28" t="inlineStr">
        <is>
          <t>20804</t>
        </is>
      </c>
      <c r="C28" t="n">
        <v>10000</v>
      </c>
      <c r="D28" t="n">
        <v>10854</v>
      </c>
      <c r="E28" t="n">
        <v>854</v>
      </c>
      <c r="F28" t="n">
        <v>8.5</v>
      </c>
      <c r="G28" s="6" t="inlineStr"/>
    </row>
    <row r="29">
      <c r="A29" t="inlineStr">
        <is>
          <t>Обучение и образование сотрудников</t>
        </is>
      </c>
      <c r="B29" t="inlineStr">
        <is>
          <t>20805</t>
        </is>
      </c>
      <c r="C29" t="n">
        <v>15000</v>
      </c>
      <c r="D29" t="n">
        <v>14770</v>
      </c>
      <c r="E29" t="n">
        <v>-230</v>
      </c>
      <c r="F29" t="n">
        <v>-1.5</v>
      </c>
      <c r="G29" s="6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9" customWidth="1" min="12" max="12"/>
  </cols>
  <sheetData>
    <row r="1">
      <c r="A1" s="4" t="n"/>
      <c r="B1" s="4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t="inlineStr">
        <is>
          <t>расход</t>
        </is>
      </c>
      <c r="B2" t="inlineStr">
        <is>
          <t>код статьи</t>
        </is>
      </c>
      <c r="C2" s="9" t="inlineStr">
        <is>
          <t>апрель</t>
        </is>
      </c>
      <c r="D2" s="9" t="inlineStr">
        <is>
          <t>май</t>
        </is>
      </c>
      <c r="E2" s="9" t="inlineStr">
        <is>
          <t>июнь</t>
        </is>
      </c>
      <c r="F2" s="9" t="inlineStr">
        <is>
          <t>июль</t>
        </is>
      </c>
      <c r="G2" s="9" t="inlineStr">
        <is>
          <t>август</t>
        </is>
      </c>
      <c r="H2" s="9" t="inlineStr">
        <is>
          <t>сентябрь</t>
        </is>
      </c>
      <c r="I2" s="9" t="inlineStr">
        <is>
          <t>октябрь</t>
        </is>
      </c>
      <c r="J2" s="9" t="inlineStr">
        <is>
          <t>ноябрь</t>
        </is>
      </c>
      <c r="K2" s="9" t="inlineStr">
        <is>
          <t>декабрь</t>
        </is>
      </c>
      <c r="L2" s="9" t="inlineStr">
        <is>
          <t>Причина изменения прогноза</t>
        </is>
      </c>
    </row>
    <row r="3">
      <c r="A3" t="inlineStr">
        <is>
          <t>Оклад</t>
        </is>
      </c>
      <c r="B3" t="inlineStr">
        <is>
          <t>10101</t>
        </is>
      </c>
      <c r="C3" s="9" t="n">
        <v>125000</v>
      </c>
      <c r="D3" s="9" t="n">
        <v>130000</v>
      </c>
      <c r="E3" s="9" t="n">
        <v>130000</v>
      </c>
      <c r="F3" s="9" t="n">
        <v>130000</v>
      </c>
      <c r="G3" s="9" t="n">
        <v>135000</v>
      </c>
      <c r="H3" s="9" t="n">
        <v>135000</v>
      </c>
      <c r="I3" s="9" t="n">
        <v>140000</v>
      </c>
      <c r="J3" s="9" t="n">
        <v>140000</v>
      </c>
      <c r="K3" s="9" t="n">
        <v>150000</v>
      </c>
      <c r="L3" s="9" t="inlineStr"/>
    </row>
    <row r="4">
      <c r="A4" t="inlineStr">
        <is>
          <t>Ежемесячная премия</t>
        </is>
      </c>
      <c r="B4" t="inlineStr">
        <is>
          <t>10102</t>
        </is>
      </c>
      <c r="C4" s="9" t="n">
        <v>16000</v>
      </c>
      <c r="D4" s="9" t="n">
        <v>17000</v>
      </c>
      <c r="E4" s="9" t="n">
        <v>17000</v>
      </c>
      <c r="F4" s="9" t="n">
        <v>17000</v>
      </c>
      <c r="G4" s="9" t="n">
        <v>18000</v>
      </c>
      <c r="H4" s="9" t="n">
        <v>18000</v>
      </c>
      <c r="I4" s="9" t="n">
        <v>19000</v>
      </c>
      <c r="J4" s="9" t="n">
        <v>19000</v>
      </c>
      <c r="K4" s="9" t="n">
        <v>20000</v>
      </c>
      <c r="L4" s="9" t="inlineStr"/>
    </row>
    <row r="5">
      <c r="A5" t="inlineStr">
        <is>
          <t>Сверхурочные</t>
        </is>
      </c>
      <c r="B5" t="inlineStr">
        <is>
          <t>10103</t>
        </is>
      </c>
      <c r="C5" s="9" t="n">
        <v>5000</v>
      </c>
      <c r="D5" s="9" t="n">
        <v>7000</v>
      </c>
      <c r="E5" s="9" t="n">
        <v>6000</v>
      </c>
      <c r="F5" s="9" t="n">
        <v>5000</v>
      </c>
      <c r="G5" s="9" t="n">
        <v>8000</v>
      </c>
      <c r="H5" s="9" t="n">
        <v>7000</v>
      </c>
      <c r="I5" s="9" t="n">
        <v>6000</v>
      </c>
      <c r="J5" s="9" t="n">
        <v>5000</v>
      </c>
      <c r="K5" s="9" t="n">
        <v>9000</v>
      </c>
      <c r="L5" s="9" t="inlineStr"/>
    </row>
    <row r="6">
      <c r="A6" t="inlineStr">
        <is>
          <t>Налоги на ЗП</t>
        </is>
      </c>
      <c r="B6" t="inlineStr">
        <is>
          <t>10104</t>
        </is>
      </c>
      <c r="C6" s="9" t="n">
        <v>37500</v>
      </c>
      <c r="D6" s="9" t="n">
        <v>39000</v>
      </c>
      <c r="E6" s="9" t="n">
        <v>39000</v>
      </c>
      <c r="F6" s="9" t="n">
        <v>39000</v>
      </c>
      <c r="G6" s="9" t="n">
        <v>40500</v>
      </c>
      <c r="H6" s="9" t="n">
        <v>40500</v>
      </c>
      <c r="I6" s="9" t="n">
        <v>42000</v>
      </c>
      <c r="J6" s="9" t="n">
        <v>42000</v>
      </c>
      <c r="K6" s="9" t="n">
        <v>45000</v>
      </c>
      <c r="L6" s="9" t="inlineStr"/>
    </row>
    <row r="7">
      <c r="A7" t="inlineStr">
        <is>
          <t>Бонус</t>
        </is>
      </c>
      <c r="B7" t="inlineStr">
        <is>
          <t>10105</t>
        </is>
      </c>
      <c r="C7" s="9" t="n">
        <v>12000</v>
      </c>
      <c r="D7" s="9" t="n">
        <v>12000</v>
      </c>
      <c r="E7" s="9" t="n">
        <v>12000</v>
      </c>
      <c r="F7" s="9" t="n">
        <v>15000</v>
      </c>
      <c r="G7" s="9" t="n">
        <v>15000</v>
      </c>
      <c r="H7" s="9" t="n">
        <v>15000</v>
      </c>
      <c r="I7" s="9" t="n">
        <v>18000</v>
      </c>
      <c r="J7" s="9" t="n">
        <v>18000</v>
      </c>
      <c r="K7" s="9" t="n">
        <v>20000</v>
      </c>
      <c r="L7" s="9" t="inlineStr"/>
    </row>
    <row r="8">
      <c r="A8" t="inlineStr">
        <is>
          <t>Изменение резерва под отпуск</t>
        </is>
      </c>
      <c r="B8" t="inlineStr">
        <is>
          <t>10106</t>
        </is>
      </c>
      <c r="C8" s="9" t="n">
        <v>9000</v>
      </c>
      <c r="D8" s="9" t="n">
        <v>10000</v>
      </c>
      <c r="E8" s="9" t="n">
        <v>10000</v>
      </c>
      <c r="F8" s="9" t="n">
        <v>11000</v>
      </c>
      <c r="G8" s="9" t="n">
        <v>11000</v>
      </c>
      <c r="H8" s="9" t="n">
        <v>12000</v>
      </c>
      <c r="I8" s="9" t="n">
        <v>12000</v>
      </c>
      <c r="J8" s="9" t="n">
        <v>13000</v>
      </c>
      <c r="K8" s="9" t="n">
        <v>14000</v>
      </c>
      <c r="L8" s="9" t="inlineStr"/>
    </row>
    <row r="9">
      <c r="A9" t="inlineStr">
        <is>
          <t>Налог на резерв</t>
        </is>
      </c>
      <c r="B9" t="inlineStr">
        <is>
          <t>10107</t>
        </is>
      </c>
      <c r="C9" s="9" t="n">
        <v>2700</v>
      </c>
      <c r="D9" s="9" t="n">
        <v>3000</v>
      </c>
      <c r="E9" s="9" t="n">
        <v>3000</v>
      </c>
      <c r="F9" s="9" t="n">
        <v>3300</v>
      </c>
      <c r="G9" s="9" t="n">
        <v>3300</v>
      </c>
      <c r="H9" s="9" t="n">
        <v>3600</v>
      </c>
      <c r="I9" s="9" t="n">
        <v>3600</v>
      </c>
      <c r="J9" s="9" t="n">
        <v>3900</v>
      </c>
      <c r="K9" s="9" t="n">
        <v>4200</v>
      </c>
      <c r="L9" s="9" t="inlineStr"/>
    </row>
    <row r="10">
      <c r="A10" t="inlineStr">
        <is>
          <t>Увольнительные</t>
        </is>
      </c>
      <c r="B10" t="inlineStr">
        <is>
          <t>10108</t>
        </is>
      </c>
      <c r="C10" s="9" t="n">
        <v>0</v>
      </c>
      <c r="D10" s="9" t="n">
        <v>0</v>
      </c>
      <c r="E10" s="9" t="n">
        <v>0</v>
      </c>
      <c r="F10" s="9" t="n">
        <v>5000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5000</v>
      </c>
      <c r="L10" s="9" t="inlineStr"/>
    </row>
    <row r="11">
      <c r="A11" t="inlineStr">
        <is>
          <t>Прочие компенсации</t>
        </is>
      </c>
      <c r="B11" t="inlineStr">
        <is>
          <t>10109</t>
        </is>
      </c>
      <c r="C11" s="9" t="n">
        <v>3500</v>
      </c>
      <c r="D11" s="9" t="n">
        <v>4000</v>
      </c>
      <c r="E11" s="9" t="n">
        <v>4000</v>
      </c>
      <c r="F11" s="9" t="n">
        <v>4500</v>
      </c>
      <c r="G11" s="9" t="n">
        <v>4500</v>
      </c>
      <c r="H11" s="9" t="n">
        <v>5000</v>
      </c>
      <c r="I11" s="9" t="n">
        <v>5000</v>
      </c>
      <c r="J11" s="9" t="n">
        <v>5500</v>
      </c>
      <c r="K11" s="9" t="n">
        <v>6000</v>
      </c>
      <c r="L11" s="9" t="inlineStr"/>
    </row>
    <row r="12">
      <c r="A12" t="inlineStr">
        <is>
          <t>ДМС</t>
        </is>
      </c>
      <c r="B12" t="inlineStr">
        <is>
          <t>10110</t>
        </is>
      </c>
      <c r="C12" s="9" t="n">
        <v>12000</v>
      </c>
      <c r="D12" s="9" t="n">
        <v>12000</v>
      </c>
      <c r="E12" s="9" t="n">
        <v>12000</v>
      </c>
      <c r="F12" s="9" t="n">
        <v>12000</v>
      </c>
      <c r="G12" s="9" t="n">
        <v>12000</v>
      </c>
      <c r="H12" s="9" t="n">
        <v>12000</v>
      </c>
      <c r="I12" s="9" t="n">
        <v>12000</v>
      </c>
      <c r="J12" s="9" t="n">
        <v>12000</v>
      </c>
      <c r="K12" s="9" t="n">
        <v>12000</v>
      </c>
      <c r="L12" s="9" t="inlineStr"/>
    </row>
    <row r="13">
      <c r="A13" t="inlineStr">
        <is>
          <t>Страхование жизни</t>
        </is>
      </c>
      <c r="B13" t="inlineStr">
        <is>
          <t>10111</t>
        </is>
      </c>
      <c r="C13" s="9" t="n">
        <v>4000</v>
      </c>
      <c r="D13" s="9" t="n">
        <v>4000</v>
      </c>
      <c r="E13" s="9" t="n">
        <v>4000</v>
      </c>
      <c r="F13" s="9" t="n">
        <v>4000</v>
      </c>
      <c r="G13" s="9" t="n">
        <v>4000</v>
      </c>
      <c r="H13" s="9" t="n">
        <v>4000</v>
      </c>
      <c r="I13" s="9" t="n">
        <v>4000</v>
      </c>
      <c r="J13" s="9" t="n">
        <v>4000</v>
      </c>
      <c r="K13" s="9" t="n">
        <v>4000</v>
      </c>
      <c r="L13" s="9" t="inlineStr"/>
    </row>
    <row r="14">
      <c r="A14" t="inlineStr">
        <is>
          <t>Выходное пособие</t>
        </is>
      </c>
      <c r="B14" t="inlineStr">
        <is>
          <t>10112</t>
        </is>
      </c>
      <c r="C14" s="9" t="n">
        <v>0</v>
      </c>
      <c r="D14" s="9" t="n">
        <v>15000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20000</v>
      </c>
      <c r="K14" s="9" t="n">
        <v>0</v>
      </c>
      <c r="L14" s="9" t="inlineStr"/>
    </row>
    <row r="15">
      <c r="A15" t="inlineStr">
        <is>
          <t>Оклад</t>
        </is>
      </c>
      <c r="B15" t="inlineStr">
        <is>
          <t>20101</t>
        </is>
      </c>
      <c r="C15" s="9" t="n">
        <v>410000</v>
      </c>
      <c r="D15" s="9" t="n">
        <v>410000</v>
      </c>
      <c r="E15" s="9" t="n">
        <v>410000</v>
      </c>
      <c r="F15" s="9" t="n">
        <v>420000</v>
      </c>
      <c r="G15" s="9" t="n">
        <v>420000</v>
      </c>
      <c r="H15" s="9" t="n">
        <v>420000</v>
      </c>
      <c r="I15" s="9" t="n">
        <v>430000</v>
      </c>
      <c r="J15" s="9" t="n">
        <v>430000</v>
      </c>
      <c r="K15" s="9" t="n">
        <v>450000</v>
      </c>
      <c r="L15" s="9" t="inlineStr"/>
    </row>
    <row r="16">
      <c r="A16" t="inlineStr">
        <is>
          <t>Премия</t>
        </is>
      </c>
      <c r="B16" t="inlineStr">
        <is>
          <t>20102</t>
        </is>
      </c>
      <c r="C16" s="9" t="n">
        <v>52000</v>
      </c>
      <c r="D16" s="9" t="n">
        <v>52000</v>
      </c>
      <c r="E16" s="9" t="n">
        <v>52000</v>
      </c>
      <c r="F16" s="9" t="n">
        <v>55000</v>
      </c>
      <c r="G16" s="9" t="n">
        <v>55000</v>
      </c>
      <c r="H16" s="9" t="n">
        <v>55000</v>
      </c>
      <c r="I16" s="9" t="n">
        <v>58000</v>
      </c>
      <c r="J16" s="9" t="n">
        <v>58000</v>
      </c>
      <c r="K16" s="9" t="n">
        <v>60000</v>
      </c>
      <c r="L16" s="9" t="inlineStr"/>
    </row>
    <row r="17">
      <c r="A17" t="inlineStr">
        <is>
          <t>Сверхурочная оплата</t>
        </is>
      </c>
      <c r="B17" t="inlineStr">
        <is>
          <t>20103</t>
        </is>
      </c>
      <c r="C17" s="9" t="n">
        <v>12000</v>
      </c>
      <c r="D17" s="9" t="n">
        <v>12000</v>
      </c>
      <c r="E17" s="9" t="n">
        <v>12000</v>
      </c>
      <c r="F17" s="9" t="n">
        <v>15000</v>
      </c>
      <c r="G17" s="9" t="n">
        <v>15000</v>
      </c>
      <c r="H17" s="9" t="n">
        <v>15000</v>
      </c>
      <c r="I17" s="9" t="n">
        <v>15000</v>
      </c>
      <c r="J17" s="9" t="n">
        <v>15000</v>
      </c>
      <c r="K17" s="9" t="n">
        <v>18000</v>
      </c>
      <c r="L17" s="9" t="inlineStr"/>
    </row>
    <row r="18">
      <c r="A18" t="inlineStr">
        <is>
          <t>Налоги на ЗП</t>
        </is>
      </c>
      <c r="B18" t="inlineStr">
        <is>
          <t>20104</t>
        </is>
      </c>
      <c r="C18" s="9" t="n">
        <v>138000</v>
      </c>
      <c r="D18" s="9" t="n">
        <v>138000</v>
      </c>
      <c r="E18" s="9" t="n">
        <v>138000</v>
      </c>
      <c r="F18" s="9" t="n">
        <v>142000</v>
      </c>
      <c r="G18" s="9" t="n">
        <v>142000</v>
      </c>
      <c r="H18" s="9" t="n">
        <v>142000</v>
      </c>
      <c r="I18" s="9" t="n">
        <v>145000</v>
      </c>
      <c r="J18" s="9" t="n">
        <v>145000</v>
      </c>
      <c r="K18" s="9" t="n">
        <v>150000</v>
      </c>
      <c r="L18" s="9" t="inlineStr"/>
    </row>
    <row r="19">
      <c r="A19" t="inlineStr">
        <is>
          <t>Отпускные</t>
        </is>
      </c>
      <c r="B19" t="inlineStr">
        <is>
          <t>20105</t>
        </is>
      </c>
      <c r="C19" s="9" t="n">
        <v>35000</v>
      </c>
      <c r="D19" s="9" t="n">
        <v>40000</v>
      </c>
      <c r="E19" s="9" t="n">
        <v>40000</v>
      </c>
      <c r="F19" s="9" t="n">
        <v>45000</v>
      </c>
      <c r="G19" s="9" t="n">
        <v>45000</v>
      </c>
      <c r="H19" s="9" t="n">
        <v>50000</v>
      </c>
      <c r="I19" s="9" t="n">
        <v>50000</v>
      </c>
      <c r="J19" s="9" t="n">
        <v>55000</v>
      </c>
      <c r="K19" s="9" t="n">
        <v>60000</v>
      </c>
      <c r="L19" s="9" t="inlineStr"/>
    </row>
    <row r="20">
      <c r="A20" t="inlineStr">
        <is>
          <t>Выходное пособие</t>
        </is>
      </c>
      <c r="B20" t="inlineStr">
        <is>
          <t>20106</t>
        </is>
      </c>
      <c r="C20" s="9" t="n">
        <v>0</v>
      </c>
      <c r="D20" s="9" t="n">
        <v>0</v>
      </c>
      <c r="E20" s="9" t="n">
        <v>0</v>
      </c>
      <c r="F20" s="9" t="n">
        <v>50000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inlineStr"/>
    </row>
    <row r="21">
      <c r="A21" t="inlineStr">
        <is>
          <t>компенсация проезда</t>
        </is>
      </c>
      <c r="B21" t="inlineStr">
        <is>
          <t>20107</t>
        </is>
      </c>
      <c r="C21" s="9" t="n">
        <v>15000</v>
      </c>
      <c r="D21" s="9" t="n">
        <v>15000</v>
      </c>
      <c r="E21" s="9" t="n">
        <v>15000</v>
      </c>
      <c r="F21" s="9" t="n">
        <v>15000</v>
      </c>
      <c r="G21" s="9" t="n">
        <v>15000</v>
      </c>
      <c r="H21" s="9" t="n">
        <v>15000</v>
      </c>
      <c r="I21" s="9" t="n">
        <v>15000</v>
      </c>
      <c r="J21" s="9" t="n">
        <v>15000</v>
      </c>
      <c r="K21" s="9" t="n">
        <v>15000</v>
      </c>
      <c r="L21" s="9" t="inlineStr"/>
    </row>
    <row r="22">
      <c r="A22" t="inlineStr">
        <is>
          <t>ДМС</t>
        </is>
      </c>
      <c r="B22" t="inlineStr">
        <is>
          <t>20108</t>
        </is>
      </c>
      <c r="C22" s="9" t="n">
        <v>60000</v>
      </c>
      <c r="D22" s="9" t="n">
        <v>60000</v>
      </c>
      <c r="E22" s="9" t="n">
        <v>60000</v>
      </c>
      <c r="F22" s="9" t="n">
        <v>60000</v>
      </c>
      <c r="G22" s="9" t="n">
        <v>60000</v>
      </c>
      <c r="H22" s="9" t="n">
        <v>60000</v>
      </c>
      <c r="I22" s="9" t="n">
        <v>60000</v>
      </c>
      <c r="J22" s="9" t="n">
        <v>60000</v>
      </c>
      <c r="K22" s="9" t="n">
        <v>60000</v>
      </c>
      <c r="L22" s="9" t="inlineStr"/>
    </row>
    <row r="23">
      <c r="A23" t="inlineStr">
        <is>
          <t>Страхование жизни</t>
        </is>
      </c>
      <c r="B23" t="inlineStr">
        <is>
          <t>20109</t>
        </is>
      </c>
      <c r="C23" s="9" t="n">
        <v>20000</v>
      </c>
      <c r="D23" s="9" t="n">
        <v>20000</v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inlineStr"/>
    </row>
    <row r="24">
      <c r="A24" t="inlineStr">
        <is>
          <t>Корпоративные мероприятия</t>
        </is>
      </c>
      <c r="B24" t="inlineStr">
        <is>
          <t>20301</t>
        </is>
      </c>
      <c r="C24" s="9" t="n">
        <v>0</v>
      </c>
      <c r="D24" s="9" t="n">
        <v>0</v>
      </c>
      <c r="E24" s="9" t="n">
        <v>50000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80000</v>
      </c>
      <c r="L24" s="9" t="inlineStr"/>
    </row>
    <row r="25">
      <c r="A25" t="inlineStr">
        <is>
          <t>Расходы на столовую</t>
        </is>
      </c>
      <c r="B25" t="inlineStr">
        <is>
          <t>20801</t>
        </is>
      </c>
      <c r="C25" s="9" t="n">
        <v>30000</v>
      </c>
      <c r="D25" s="9" t="n">
        <v>30000</v>
      </c>
      <c r="E25" s="9" t="n">
        <v>30000</v>
      </c>
      <c r="F25" s="9" t="n">
        <v>30000</v>
      </c>
      <c r="G25" s="9" t="n">
        <v>30000</v>
      </c>
      <c r="H25" s="9" t="n">
        <v>30000</v>
      </c>
      <c r="I25" s="9" t="n">
        <v>30000</v>
      </c>
      <c r="J25" s="9" t="n">
        <v>30000</v>
      </c>
      <c r="K25" s="9" t="n">
        <v>30000</v>
      </c>
      <c r="L25" s="9" t="inlineStr"/>
    </row>
    <row r="26">
      <c r="A26" t="inlineStr">
        <is>
          <t>Одежда (спецодежда)</t>
        </is>
      </c>
      <c r="B26" t="inlineStr">
        <is>
          <t>20802</t>
        </is>
      </c>
      <c r="C26" s="9" t="n">
        <v>5000</v>
      </c>
      <c r="D26" s="9" t="n">
        <v>5000</v>
      </c>
      <c r="E26" s="9" t="n">
        <v>5000</v>
      </c>
      <c r="F26" s="9" t="n">
        <v>5000</v>
      </c>
      <c r="G26" s="9" t="n">
        <v>5000</v>
      </c>
      <c r="H26" s="9" t="n">
        <v>5000</v>
      </c>
      <c r="I26" s="9" t="n">
        <v>5000</v>
      </c>
      <c r="J26" s="9" t="n">
        <v>5000</v>
      </c>
      <c r="K26" s="9" t="n">
        <v>5000</v>
      </c>
      <c r="L26" s="9" t="inlineStr"/>
    </row>
    <row r="27">
      <c r="A27" t="inlineStr">
        <is>
          <t>Товары для охраны здоровья и безопасности</t>
        </is>
      </c>
      <c r="B27" t="inlineStr">
        <is>
          <t>20803</t>
        </is>
      </c>
      <c r="C27" s="9" t="n">
        <v>4000</v>
      </c>
      <c r="D27" s="9" t="n">
        <v>4000</v>
      </c>
      <c r="E27" s="9" t="n">
        <v>4000</v>
      </c>
      <c r="F27" s="9" t="n">
        <v>4000</v>
      </c>
      <c r="G27" s="9" t="n">
        <v>4000</v>
      </c>
      <c r="H27" s="9" t="n">
        <v>4000</v>
      </c>
      <c r="I27" s="9" t="n">
        <v>4000</v>
      </c>
      <c r="J27" s="9" t="n">
        <v>4000</v>
      </c>
      <c r="K27" s="9" t="n">
        <v>4000</v>
      </c>
      <c r="L27" s="9" t="inlineStr"/>
    </row>
    <row r="28">
      <c r="A28" t="inlineStr">
        <is>
          <t>Подбор персонала</t>
        </is>
      </c>
      <c r="B28" t="inlineStr">
        <is>
          <t>20804</t>
        </is>
      </c>
      <c r="C28" s="9" t="n">
        <v>10000</v>
      </c>
      <c r="D28" s="9" t="n">
        <v>10000</v>
      </c>
      <c r="E28" s="9" t="n">
        <v>10000</v>
      </c>
      <c r="F28" s="9" t="n">
        <v>10000</v>
      </c>
      <c r="G28" s="9" t="n">
        <v>10000</v>
      </c>
      <c r="H28" s="9" t="n">
        <v>10000</v>
      </c>
      <c r="I28" s="9" t="n">
        <v>10000</v>
      </c>
      <c r="J28" s="9" t="n">
        <v>10000</v>
      </c>
      <c r="K28" s="9" t="n">
        <v>10000</v>
      </c>
      <c r="L28" s="9" t="inlineStr"/>
    </row>
    <row r="29">
      <c r="A29" t="inlineStr">
        <is>
          <t>Обучение и образование сотрудников</t>
        </is>
      </c>
      <c r="B29" t="inlineStr">
        <is>
          <t>20805</t>
        </is>
      </c>
      <c r="C29" s="9" t="n">
        <v>15000</v>
      </c>
      <c r="D29" s="9" t="n">
        <v>15000</v>
      </c>
      <c r="E29" s="9" t="n">
        <v>15000</v>
      </c>
      <c r="F29" s="9" t="n">
        <v>15000</v>
      </c>
      <c r="G29" s="9" t="n">
        <v>15000</v>
      </c>
      <c r="H29" s="9" t="n">
        <v>15000</v>
      </c>
      <c r="I29" s="9" t="n">
        <v>15000</v>
      </c>
      <c r="J29" s="9" t="n">
        <v>15000</v>
      </c>
      <c r="K29" s="9" t="n">
        <v>15000</v>
      </c>
      <c r="L29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5" customWidth="1" min="3" max="3"/>
    <col width="26" customWidth="1" min="4" max="4"/>
    <col width="22" customWidth="1" min="5" max="5"/>
    <col width="45" customWidth="1" min="6" max="6"/>
    <col width="21" customWidth="1" min="7" max="7"/>
    <col width="36" customWidth="1" min="8" max="8"/>
    <col hidden="1" width="12" customWidth="1" min="9" max="9"/>
  </cols>
  <sheetData>
    <row r="1">
      <c r="A1" s="10" t="inlineStr">
        <is>
          <t>ИТОГОВАЯ СВОДКА ПО ГОДУ (с формулами)</t>
        </is>
      </c>
    </row>
    <row r="2">
      <c r="A2" s="4" t="inlineStr">
        <is>
          <t>расход</t>
        </is>
      </c>
      <c r="B2" s="4" t="inlineStr">
        <is>
          <t>код статьи</t>
        </is>
      </c>
      <c r="C2" s="4" t="inlineStr">
        <is>
          <t>Бюджет (Год)</t>
        </is>
      </c>
      <c r="D2" s="4" t="inlineStr">
        <is>
          <t>Факт + Прогноз (Старый)</t>
        </is>
      </c>
      <c r="E2" s="4" t="inlineStr">
        <is>
          <t>Отклонение (Старый)</t>
        </is>
      </c>
      <c r="F2" s="4" t="inlineStr">
        <is>
          <t>Факт + Прогноз (Новый)</t>
        </is>
      </c>
      <c r="G2" s="4" t="inlineStr">
        <is>
          <t>Отклонение (Новый)</t>
        </is>
      </c>
      <c r="H2" s="4" t="inlineStr">
        <is>
          <t>Эффект от корректировки (Dif-Dif)</t>
        </is>
      </c>
      <c r="I2" s="4" t="inlineStr">
        <is>
          <t>_Факт</t>
        </is>
      </c>
    </row>
    <row r="3">
      <c r="A3" t="inlineStr">
        <is>
          <t>Оклад</t>
        </is>
      </c>
      <c r="B3" t="inlineStr">
        <is>
          <t>10101</t>
        </is>
      </c>
      <c r="C3" t="n">
        <v>1480000</v>
      </c>
      <c r="D3" t="n">
        <v>1475858</v>
      </c>
      <c r="E3" t="n">
        <v>-4142</v>
      </c>
      <c r="F3">
        <f>I3 + SUM('3. Обновление прогноза'!C3:K3)</f>
        <v/>
      </c>
      <c r="G3">
        <f>F3 - C3</f>
        <v/>
      </c>
      <c r="H3">
        <f>G3 - E3</f>
        <v/>
      </c>
      <c r="I3" t="n">
        <v>260858</v>
      </c>
    </row>
    <row r="4">
      <c r="A4" t="inlineStr">
        <is>
          <t>Ежемесячная премия</t>
        </is>
      </c>
      <c r="B4" t="inlineStr">
        <is>
          <t>10102</t>
        </is>
      </c>
      <c r="C4" t="n">
        <v>207000</v>
      </c>
      <c r="D4" t="n">
        <v>191355</v>
      </c>
      <c r="E4" t="n">
        <v>-15645</v>
      </c>
      <c r="F4">
        <f>I4 + SUM('3. Обновление прогноза'!C4:K4)</f>
        <v/>
      </c>
      <c r="G4">
        <f>F4 - C4</f>
        <v/>
      </c>
      <c r="H4">
        <f>G4 - E4</f>
        <v/>
      </c>
      <c r="I4" t="n">
        <v>30355</v>
      </c>
    </row>
    <row r="5">
      <c r="A5" t="inlineStr">
        <is>
          <t>Сверхурочные</t>
        </is>
      </c>
      <c r="B5" t="inlineStr">
        <is>
          <t>10103</t>
        </is>
      </c>
      <c r="C5" t="n">
        <v>73000</v>
      </c>
      <c r="D5" t="n">
        <v>74619</v>
      </c>
      <c r="E5" t="n">
        <v>1619</v>
      </c>
      <c r="F5">
        <f>I5 + SUM('3. Обновление прогноза'!C5:K5)</f>
        <v/>
      </c>
      <c r="G5">
        <f>F5 - C5</f>
        <v/>
      </c>
      <c r="H5">
        <f>G5 - E5</f>
        <v/>
      </c>
      <c r="I5" t="n">
        <v>16619</v>
      </c>
    </row>
    <row r="6">
      <c r="A6" t="inlineStr">
        <is>
          <t>Налоги на ЗП</t>
        </is>
      </c>
      <c r="B6" t="inlineStr">
        <is>
          <t>10104</t>
        </is>
      </c>
      <c r="C6" t="n">
        <v>474000</v>
      </c>
      <c r="D6" t="n">
        <v>479135</v>
      </c>
      <c r="E6" t="n">
        <v>5135</v>
      </c>
      <c r="F6">
        <f>I6 + SUM('3. Обновление прогноза'!C6:K6)</f>
        <v/>
      </c>
      <c r="G6">
        <f>F6 - C6</f>
        <v/>
      </c>
      <c r="H6">
        <f>G6 - E6</f>
        <v/>
      </c>
      <c r="I6" t="n">
        <v>114635</v>
      </c>
    </row>
    <row r="7">
      <c r="A7" t="inlineStr">
        <is>
          <t>Бонус</t>
        </is>
      </c>
      <c r="B7" t="inlineStr">
        <is>
          <t>10105</t>
        </is>
      </c>
      <c r="C7" t="n">
        <v>167000</v>
      </c>
      <c r="D7" t="n">
        <v>155682</v>
      </c>
      <c r="E7" t="n">
        <v>-11318</v>
      </c>
      <c r="F7">
        <f>I7 + SUM('3. Обновление прогноза'!C7:K7)</f>
        <v/>
      </c>
      <c r="G7">
        <f>F7 - C7</f>
        <v/>
      </c>
      <c r="H7">
        <f>G7 - E7</f>
        <v/>
      </c>
      <c r="I7" t="n">
        <v>18682</v>
      </c>
    </row>
    <row r="8">
      <c r="A8" t="inlineStr">
        <is>
          <t>Изменение резерва под отпуск</t>
        </is>
      </c>
      <c r="B8" t="inlineStr">
        <is>
          <t>10106</t>
        </is>
      </c>
      <c r="C8" t="n">
        <v>127000</v>
      </c>
      <c r="D8" t="n">
        <v>125970</v>
      </c>
      <c r="E8" t="n">
        <v>-1030</v>
      </c>
      <c r="F8">
        <f>I8 + SUM('3. Обновление прогноза'!C8:K8)</f>
        <v/>
      </c>
      <c r="G8">
        <f>F8 - C8</f>
        <v/>
      </c>
      <c r="H8">
        <f>G8 - E8</f>
        <v/>
      </c>
      <c r="I8" t="n">
        <v>23970</v>
      </c>
    </row>
    <row r="9">
      <c r="A9" t="inlineStr">
        <is>
          <t>Налог на резерв</t>
        </is>
      </c>
      <c r="B9" t="inlineStr">
        <is>
          <t>10107</t>
        </is>
      </c>
      <c r="C9" t="n">
        <v>38100</v>
      </c>
      <c r="D9" t="n">
        <v>38478</v>
      </c>
      <c r="E9" t="n">
        <v>378</v>
      </c>
      <c r="F9">
        <f>I9 + SUM('3. Обновление прогноза'!C9:K9)</f>
        <v/>
      </c>
      <c r="G9">
        <f>F9 - C9</f>
        <v/>
      </c>
      <c r="H9">
        <f>G9 - E9</f>
        <v/>
      </c>
      <c r="I9" t="n">
        <v>7878</v>
      </c>
    </row>
    <row r="10">
      <c r="A10" t="inlineStr">
        <is>
          <t>Увольнительные</t>
        </is>
      </c>
      <c r="B10" t="inlineStr">
        <is>
          <t>10108</t>
        </is>
      </c>
      <c r="C10" t="n">
        <v>15000</v>
      </c>
      <c r="D10" t="n">
        <v>14590</v>
      </c>
      <c r="E10" t="n">
        <v>-410</v>
      </c>
      <c r="F10">
        <f>I10 + SUM('3. Обновление прогноза'!C10:K10)</f>
        <v/>
      </c>
      <c r="G10">
        <f>F10 - C10</f>
        <v/>
      </c>
      <c r="H10">
        <f>G10 - E10</f>
        <v/>
      </c>
      <c r="I10" t="n">
        <v>4590</v>
      </c>
    </row>
    <row r="11">
      <c r="A11" t="inlineStr">
        <is>
          <t>Прочие компенсации</t>
        </is>
      </c>
      <c r="B11" t="inlineStr">
        <is>
          <t>10109</t>
        </is>
      </c>
      <c r="C11" t="n">
        <v>51500</v>
      </c>
      <c r="D11" t="n">
        <v>48518</v>
      </c>
      <c r="E11" t="n">
        <v>-2982</v>
      </c>
      <c r="F11">
        <f>I11 + SUM('3. Обновление прогноза'!C11:K11)</f>
        <v/>
      </c>
      <c r="G11">
        <f>F11 - C11</f>
        <v/>
      </c>
      <c r="H11">
        <f>G11 - E11</f>
        <v/>
      </c>
      <c r="I11" t="n">
        <v>6518</v>
      </c>
    </row>
    <row r="12">
      <c r="A12" t="inlineStr">
        <is>
          <t>ДМС</t>
        </is>
      </c>
      <c r="B12" t="inlineStr">
        <is>
          <t>10110</t>
        </is>
      </c>
      <c r="C12" t="n">
        <v>144000</v>
      </c>
      <c r="D12" t="n">
        <v>143157</v>
      </c>
      <c r="E12" t="n">
        <v>-843</v>
      </c>
      <c r="F12">
        <f>I12 + SUM('3. Обновление прогноза'!C12:K12)</f>
        <v/>
      </c>
      <c r="G12">
        <f>F12 - C12</f>
        <v/>
      </c>
      <c r="H12">
        <f>G12 - E12</f>
        <v/>
      </c>
      <c r="I12" t="n">
        <v>35157</v>
      </c>
    </row>
    <row r="13">
      <c r="A13" t="inlineStr">
        <is>
          <t>Страхование жизни</t>
        </is>
      </c>
      <c r="B13" t="inlineStr">
        <is>
          <t>10111</t>
        </is>
      </c>
      <c r="C13" t="n">
        <v>48000</v>
      </c>
      <c r="D13" t="n">
        <v>44645</v>
      </c>
      <c r="E13" t="n">
        <v>-3355</v>
      </c>
      <c r="F13">
        <f>I13 + SUM('3. Обновление прогноза'!C13:K13)</f>
        <v/>
      </c>
      <c r="G13">
        <f>F13 - C13</f>
        <v/>
      </c>
      <c r="H13">
        <f>G13 - E13</f>
        <v/>
      </c>
      <c r="I13" t="n">
        <v>8645</v>
      </c>
    </row>
    <row r="14">
      <c r="A14" t="inlineStr">
        <is>
          <t>Выходное пособие</t>
        </is>
      </c>
      <c r="B14" t="inlineStr">
        <is>
          <t>10112</t>
        </is>
      </c>
      <c r="C14" t="n">
        <v>35000</v>
      </c>
      <c r="D14" t="n">
        <v>35000</v>
      </c>
      <c r="E14" t="n">
        <v>0</v>
      </c>
      <c r="F14">
        <f>I14 + SUM('3. Обновление прогноза'!C14:K14)</f>
        <v/>
      </c>
      <c r="G14">
        <f>F14 - C14</f>
        <v/>
      </c>
      <c r="H14">
        <f>G14 - E14</f>
        <v/>
      </c>
      <c r="I14" t="n">
        <v>0</v>
      </c>
    </row>
    <row r="15">
      <c r="A15" t="inlineStr">
        <is>
          <t>Оклад</t>
        </is>
      </c>
      <c r="B15" t="inlineStr">
        <is>
          <t>20101</t>
        </is>
      </c>
      <c r="C15" t="n">
        <v>5000000</v>
      </c>
      <c r="D15" t="n">
        <v>5076863</v>
      </c>
      <c r="E15" t="n">
        <v>76863</v>
      </c>
      <c r="F15">
        <f>I15 + SUM('3. Обновление прогноза'!C15:K15)</f>
        <v/>
      </c>
      <c r="G15">
        <f>F15 - C15</f>
        <v/>
      </c>
      <c r="H15">
        <f>G15 - E15</f>
        <v/>
      </c>
      <c r="I15" t="n">
        <v>1276863</v>
      </c>
    </row>
    <row r="16">
      <c r="A16" t="inlineStr">
        <is>
          <t>Премия</t>
        </is>
      </c>
      <c r="B16" t="inlineStr">
        <is>
          <t>20102</t>
        </is>
      </c>
      <c r="C16" t="n">
        <v>647000</v>
      </c>
      <c r="D16" t="n">
        <v>649952</v>
      </c>
      <c r="E16" t="n">
        <v>2952</v>
      </c>
      <c r="F16">
        <f>I16 + SUM('3. Обновление прогноза'!C16:K16)</f>
        <v/>
      </c>
      <c r="G16">
        <f>F16 - C16</f>
        <v/>
      </c>
      <c r="H16">
        <f>G16 - E16</f>
        <v/>
      </c>
      <c r="I16" t="n">
        <v>152952</v>
      </c>
    </row>
    <row r="17">
      <c r="A17" t="inlineStr">
        <is>
          <t>Сверхурочная оплата</t>
        </is>
      </c>
      <c r="B17" t="inlineStr">
        <is>
          <t>20103</t>
        </is>
      </c>
      <c r="C17" t="n">
        <v>161000</v>
      </c>
      <c r="D17" t="n">
        <v>148465</v>
      </c>
      <c r="E17" t="n">
        <v>-12535</v>
      </c>
      <c r="F17">
        <f>I17 + SUM('3. Обновление прогноза'!C17:K17)</f>
        <v/>
      </c>
      <c r="G17">
        <f>F17 - C17</f>
        <v/>
      </c>
      <c r="H17">
        <f>G17 - E17</f>
        <v/>
      </c>
      <c r="I17" t="n">
        <v>19465</v>
      </c>
    </row>
    <row r="18">
      <c r="A18" t="inlineStr">
        <is>
          <t>Налоги на ЗП</t>
        </is>
      </c>
      <c r="B18" t="inlineStr">
        <is>
          <t>20104</t>
        </is>
      </c>
      <c r="C18" t="n">
        <v>1688000</v>
      </c>
      <c r="D18" t="n">
        <v>1667252</v>
      </c>
      <c r="E18" t="n">
        <v>-20748</v>
      </c>
      <c r="F18">
        <f>I18 + SUM('3. Обновление прогноза'!C18:K18)</f>
        <v/>
      </c>
      <c r="G18">
        <f>F18 - C18</f>
        <v/>
      </c>
      <c r="H18">
        <f>G18 - E18</f>
        <v/>
      </c>
      <c r="I18" t="n">
        <v>387252</v>
      </c>
    </row>
    <row r="19">
      <c r="A19" t="inlineStr">
        <is>
          <t>Отпускные</t>
        </is>
      </c>
      <c r="B19" t="inlineStr">
        <is>
          <t>20105</t>
        </is>
      </c>
      <c r="C19" t="n">
        <v>515000</v>
      </c>
      <c r="D19" t="n">
        <v>518589</v>
      </c>
      <c r="E19" t="n">
        <v>3589</v>
      </c>
      <c r="F19">
        <f>I19 + SUM('3. Обновление прогноза'!C19:K19)</f>
        <v/>
      </c>
      <c r="G19">
        <f>F19 - C19</f>
        <v/>
      </c>
      <c r="H19">
        <f>G19 - E19</f>
        <v/>
      </c>
      <c r="I19" t="n">
        <v>98589</v>
      </c>
    </row>
    <row r="20">
      <c r="A20" t="inlineStr">
        <is>
          <t>Выходное пособие</t>
        </is>
      </c>
      <c r="B20" t="inlineStr">
        <is>
          <t>20106</t>
        </is>
      </c>
      <c r="C20" t="n">
        <v>50000</v>
      </c>
      <c r="D20" t="n">
        <v>50000</v>
      </c>
      <c r="E20" t="n">
        <v>0</v>
      </c>
      <c r="F20">
        <f>I20 + SUM('3. Обновление прогноза'!C20:K20)</f>
        <v/>
      </c>
      <c r="G20">
        <f>F20 - C20</f>
        <v/>
      </c>
      <c r="H20">
        <f>G20 - E20</f>
        <v/>
      </c>
      <c r="I20" t="n">
        <v>0</v>
      </c>
    </row>
    <row r="21">
      <c r="A21" t="inlineStr">
        <is>
          <t>компенсация проезда</t>
        </is>
      </c>
      <c r="B21" t="inlineStr">
        <is>
          <t>20107</t>
        </is>
      </c>
      <c r="C21" t="n">
        <v>180000</v>
      </c>
      <c r="D21" t="n">
        <v>182740</v>
      </c>
      <c r="E21" t="n">
        <v>2740</v>
      </c>
      <c r="F21">
        <f>I21 + SUM('3. Обновление прогноза'!C21:K21)</f>
        <v/>
      </c>
      <c r="G21">
        <f>F21 - C21</f>
        <v/>
      </c>
      <c r="H21">
        <f>G21 - E21</f>
        <v/>
      </c>
      <c r="I21" t="n">
        <v>47740</v>
      </c>
    </row>
    <row r="22">
      <c r="A22" t="inlineStr">
        <is>
          <t>ДМС</t>
        </is>
      </c>
      <c r="B22" t="inlineStr">
        <is>
          <t>20108</t>
        </is>
      </c>
      <c r="C22" t="n">
        <v>720000</v>
      </c>
      <c r="D22" t="n">
        <v>671469</v>
      </c>
      <c r="E22" t="n">
        <v>-48531</v>
      </c>
      <c r="F22">
        <f>I22 + SUM('3. Обновление прогноза'!C22:K22)</f>
        <v/>
      </c>
      <c r="G22">
        <f>F22 - C22</f>
        <v/>
      </c>
      <c r="H22">
        <f>G22 - E22</f>
        <v/>
      </c>
      <c r="I22" t="n">
        <v>131469</v>
      </c>
    </row>
    <row r="23">
      <c r="A23" t="inlineStr">
        <is>
          <t>Страхование жизни</t>
        </is>
      </c>
      <c r="B23" t="inlineStr">
        <is>
          <t>20109</t>
        </is>
      </c>
      <c r="C23" t="n">
        <v>240000</v>
      </c>
      <c r="D23" t="n">
        <v>245036</v>
      </c>
      <c r="E23" t="n">
        <v>5036</v>
      </c>
      <c r="F23">
        <f>I23 + SUM('3. Обновление прогноза'!C23:K23)</f>
        <v/>
      </c>
      <c r="G23">
        <f>F23 - C23</f>
        <v/>
      </c>
      <c r="H23">
        <f>G23 - E23</f>
        <v/>
      </c>
      <c r="I23" t="n">
        <v>65036</v>
      </c>
    </row>
    <row r="24">
      <c r="A24" t="inlineStr">
        <is>
          <t>Корпоративные мероприятия</t>
        </is>
      </c>
      <c r="B24" t="inlineStr">
        <is>
          <t>20301</t>
        </is>
      </c>
      <c r="C24" t="n">
        <v>130000</v>
      </c>
      <c r="D24" t="n">
        <v>130000</v>
      </c>
      <c r="E24" t="n">
        <v>0</v>
      </c>
      <c r="F24">
        <f>I24 + SUM('3. Обновление прогноза'!C24:K24)</f>
        <v/>
      </c>
      <c r="G24">
        <f>F24 - C24</f>
        <v/>
      </c>
      <c r="H24">
        <f>G24 - E24</f>
        <v/>
      </c>
      <c r="I24" t="n">
        <v>0</v>
      </c>
    </row>
    <row r="25">
      <c r="A25" t="inlineStr">
        <is>
          <t>Расходы на столовую</t>
        </is>
      </c>
      <c r="B25" t="inlineStr">
        <is>
          <t>20801</t>
        </is>
      </c>
      <c r="C25" t="n">
        <v>360000</v>
      </c>
      <c r="D25" t="n">
        <v>361369</v>
      </c>
      <c r="E25" t="n">
        <v>1369</v>
      </c>
      <c r="F25">
        <f>I25 + SUM('3. Обновление прогноза'!C25:K25)</f>
        <v/>
      </c>
      <c r="G25">
        <f>F25 - C25</f>
        <v/>
      </c>
      <c r="H25">
        <f>G25 - E25</f>
        <v/>
      </c>
      <c r="I25" t="n">
        <v>91369</v>
      </c>
    </row>
    <row r="26">
      <c r="A26" t="inlineStr">
        <is>
          <t>Одежда (спецодежда)</t>
        </is>
      </c>
      <c r="B26" t="inlineStr">
        <is>
          <t>20802</t>
        </is>
      </c>
      <c r="C26" t="n">
        <v>60000</v>
      </c>
      <c r="D26" t="n">
        <v>55064</v>
      </c>
      <c r="E26" t="n">
        <v>-4936</v>
      </c>
      <c r="F26">
        <f>I26 + SUM('3. Обновление прогноза'!C26:K26)</f>
        <v/>
      </c>
      <c r="G26">
        <f>F26 - C26</f>
        <v/>
      </c>
      <c r="H26">
        <f>G26 - E26</f>
        <v/>
      </c>
      <c r="I26" t="n">
        <v>10064</v>
      </c>
    </row>
    <row r="27">
      <c r="A27" t="inlineStr">
        <is>
          <t>Товары для охраны здоровья и безопасности</t>
        </is>
      </c>
      <c r="B27" t="inlineStr">
        <is>
          <t>20803</t>
        </is>
      </c>
      <c r="C27" t="n">
        <v>48000</v>
      </c>
      <c r="D27" t="n">
        <v>48688</v>
      </c>
      <c r="E27" t="n">
        <v>688</v>
      </c>
      <c r="F27">
        <f>I27 + SUM('3. Обновление прогноза'!C27:K27)</f>
        <v/>
      </c>
      <c r="G27">
        <f>F27 - C27</f>
        <v/>
      </c>
      <c r="H27">
        <f>G27 - E27</f>
        <v/>
      </c>
      <c r="I27" t="n">
        <v>12688</v>
      </c>
    </row>
    <row r="28">
      <c r="A28" t="inlineStr">
        <is>
          <t>Подбор персонала</t>
        </is>
      </c>
      <c r="B28" t="inlineStr">
        <is>
          <t>20804</t>
        </is>
      </c>
      <c r="C28" t="n">
        <v>120000</v>
      </c>
      <c r="D28" t="n">
        <v>118941</v>
      </c>
      <c r="E28" t="n">
        <v>-1059</v>
      </c>
      <c r="F28">
        <f>I28 + SUM('3. Обновление прогноза'!C28:K28)</f>
        <v/>
      </c>
      <c r="G28">
        <f>F28 - C28</f>
        <v/>
      </c>
      <c r="H28">
        <f>G28 - E28</f>
        <v/>
      </c>
      <c r="I28" t="n">
        <v>28941</v>
      </c>
    </row>
    <row r="29">
      <c r="A29" t="inlineStr">
        <is>
          <t>Обучение и образование сотрудников</t>
        </is>
      </c>
      <c r="B29" t="inlineStr">
        <is>
          <t>20805</t>
        </is>
      </c>
      <c r="C29" t="n">
        <v>180000</v>
      </c>
      <c r="D29" t="n">
        <v>181717</v>
      </c>
      <c r="E29" t="n">
        <v>1717</v>
      </c>
      <c r="F29">
        <f>I29 + SUM('3. Обновление прогноза'!C29:K29)</f>
        <v/>
      </c>
      <c r="G29">
        <f>F29 - C29</f>
        <v/>
      </c>
      <c r="H29">
        <f>G29 - E29</f>
        <v/>
      </c>
      <c r="I29" t="n">
        <v>46717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2026-10-24T06:28:45Z</dcterms:created>
  <dcterms:modified xsi:type="dcterms:W3CDTF">2026-10-24T06:28:45Z</dcterms:modified>
</cp:coreProperties>
</file>