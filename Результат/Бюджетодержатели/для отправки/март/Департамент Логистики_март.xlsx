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Вывоз мусора</t>
        </is>
      </c>
      <c r="B3" t="inlineStr">
        <is>
          <t>10303</t>
        </is>
      </c>
      <c r="C3" t="n">
        <v>16000</v>
      </c>
      <c r="D3" t="n">
        <v>15780</v>
      </c>
      <c r="E3" t="n">
        <v>-220</v>
      </c>
      <c r="F3" t="n">
        <v>-1.4</v>
      </c>
      <c r="G3" s="6" t="inlineStr"/>
    </row>
    <row r="4">
      <c r="A4" t="inlineStr">
        <is>
          <t>Межскладская перевозка</t>
        </is>
      </c>
      <c r="B4" t="inlineStr">
        <is>
          <t>10305</t>
        </is>
      </c>
      <c r="C4" t="n">
        <v>32000</v>
      </c>
      <c r="D4" t="n">
        <v>28954</v>
      </c>
      <c r="E4" t="n">
        <v>-3046</v>
      </c>
      <c r="F4" t="n">
        <v>-9.5</v>
      </c>
      <c r="G4" s="6" t="inlineStr"/>
    </row>
    <row r="5">
      <c r="A5" t="inlineStr">
        <is>
          <t>Склад сырья и материалов</t>
        </is>
      </c>
      <c r="B5" t="inlineStr">
        <is>
          <t>20601</t>
        </is>
      </c>
      <c r="C5" t="n">
        <v>42000</v>
      </c>
      <c r="D5" t="n">
        <v>46202</v>
      </c>
      <c r="E5" t="n">
        <v>4202</v>
      </c>
      <c r="F5" t="n">
        <v>10</v>
      </c>
      <c r="G5" s="6" t="inlineStr"/>
    </row>
    <row r="6">
      <c r="A6" t="inlineStr">
        <is>
          <t>Обслуживание складского оборудования</t>
        </is>
      </c>
      <c r="B6" t="inlineStr">
        <is>
          <t>20602</t>
        </is>
      </c>
      <c r="C6" t="n">
        <v>16000</v>
      </c>
      <c r="D6" t="n">
        <v>16264</v>
      </c>
      <c r="E6" t="n">
        <v>264</v>
      </c>
      <c r="F6" t="n">
        <v>1.6</v>
      </c>
      <c r="G6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7" t="inlineStr">
        <is>
          <t>апрель</t>
        </is>
      </c>
      <c r="D2" s="7" t="inlineStr">
        <is>
          <t>май</t>
        </is>
      </c>
      <c r="E2" s="7" t="inlineStr">
        <is>
          <t>июнь</t>
        </is>
      </c>
      <c r="F2" s="7" t="inlineStr">
        <is>
          <t>июль</t>
        </is>
      </c>
      <c r="G2" s="7" t="inlineStr">
        <is>
          <t>август</t>
        </is>
      </c>
      <c r="H2" s="7" t="inlineStr">
        <is>
          <t>сентябрь</t>
        </is>
      </c>
      <c r="I2" s="7" t="inlineStr">
        <is>
          <t>октябрь</t>
        </is>
      </c>
      <c r="J2" s="7" t="inlineStr">
        <is>
          <t>ноябрь</t>
        </is>
      </c>
      <c r="K2" s="7" t="inlineStr">
        <is>
          <t>декабрь</t>
        </is>
      </c>
      <c r="L2" s="7" t="inlineStr">
        <is>
          <t>Причина изменения прогноза</t>
        </is>
      </c>
    </row>
    <row r="3">
      <c r="A3" t="inlineStr">
        <is>
          <t>Вывоз мусора</t>
        </is>
      </c>
      <c r="B3" t="inlineStr">
        <is>
          <t>10303</t>
        </is>
      </c>
      <c r="C3" s="7" t="n">
        <v>16000</v>
      </c>
      <c r="D3" s="7" t="n">
        <v>17000</v>
      </c>
      <c r="E3" s="7" t="n">
        <v>17000</v>
      </c>
      <c r="F3" s="7" t="n">
        <v>18000</v>
      </c>
      <c r="G3" s="7" t="n">
        <v>18000</v>
      </c>
      <c r="H3" s="7" t="n">
        <v>19000</v>
      </c>
      <c r="I3" s="7" t="n">
        <v>19000</v>
      </c>
      <c r="J3" s="7" t="n">
        <v>20000</v>
      </c>
      <c r="K3" s="7" t="n">
        <v>20000</v>
      </c>
      <c r="L3" s="7" t="inlineStr"/>
    </row>
    <row r="4">
      <c r="A4" t="inlineStr">
        <is>
          <t>Межскладская перевозка</t>
        </is>
      </c>
      <c r="B4" t="inlineStr">
        <is>
          <t>10305</t>
        </is>
      </c>
      <c r="C4" s="7" t="n">
        <v>33000</v>
      </c>
      <c r="D4" s="7" t="n">
        <v>34000</v>
      </c>
      <c r="E4" s="7" t="n">
        <v>35000</v>
      </c>
      <c r="F4" s="7" t="n">
        <v>36000</v>
      </c>
      <c r="G4" s="7" t="n">
        <v>37000</v>
      </c>
      <c r="H4" s="7" t="n">
        <v>38000</v>
      </c>
      <c r="I4" s="7" t="n">
        <v>39000</v>
      </c>
      <c r="J4" s="7" t="n">
        <v>40000</v>
      </c>
      <c r="K4" s="7" t="n">
        <v>41000</v>
      </c>
      <c r="L4" s="7" t="inlineStr"/>
    </row>
    <row r="5">
      <c r="A5" t="inlineStr">
        <is>
          <t>Склад сырья и материалов</t>
        </is>
      </c>
      <c r="B5" t="inlineStr">
        <is>
          <t>20601</t>
        </is>
      </c>
      <c r="C5" s="7" t="n">
        <v>42000</v>
      </c>
      <c r="D5" s="7" t="n">
        <v>44000</v>
      </c>
      <c r="E5" s="7" t="n">
        <v>44000</v>
      </c>
      <c r="F5" s="7" t="n">
        <v>46000</v>
      </c>
      <c r="G5" s="7" t="n">
        <v>46000</v>
      </c>
      <c r="H5" s="7" t="n">
        <v>48000</v>
      </c>
      <c r="I5" s="7" t="n">
        <v>48000</v>
      </c>
      <c r="J5" s="7" t="n">
        <v>50000</v>
      </c>
      <c r="K5" s="7" t="n">
        <v>50000</v>
      </c>
      <c r="L5" s="7" t="inlineStr"/>
    </row>
    <row r="6">
      <c r="A6" t="inlineStr">
        <is>
          <t>Обслуживание складского оборудования</t>
        </is>
      </c>
      <c r="B6" t="inlineStr">
        <is>
          <t>20602</t>
        </is>
      </c>
      <c r="C6" s="7" t="n">
        <v>16000</v>
      </c>
      <c r="D6" s="7" t="n">
        <v>17000</v>
      </c>
      <c r="E6" s="7" t="n">
        <v>17000</v>
      </c>
      <c r="F6" s="7" t="n">
        <v>18000</v>
      </c>
      <c r="G6" s="7" t="n">
        <v>18000</v>
      </c>
      <c r="H6" s="7" t="n">
        <v>19000</v>
      </c>
      <c r="I6" s="7" t="n">
        <v>19000</v>
      </c>
      <c r="J6" s="7" t="n">
        <v>20000</v>
      </c>
      <c r="K6" s="7" t="n">
        <v>20000</v>
      </c>
      <c r="L6" s="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4" customWidth="1" min="6" max="6"/>
    <col width="21" customWidth="1" min="7" max="7"/>
    <col width="36" customWidth="1" min="8" max="8"/>
    <col hidden="1" width="12" customWidth="1" min="9" max="9"/>
  </cols>
  <sheetData>
    <row r="1">
      <c r="A1" s="8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Вывоз мусора</t>
        </is>
      </c>
      <c r="B3" t="inlineStr">
        <is>
          <t>10303</t>
        </is>
      </c>
      <c r="C3" t="n">
        <v>210000</v>
      </c>
      <c r="D3" t="n">
        <v>208588</v>
      </c>
      <c r="E3" t="n">
        <v>-1412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44588</v>
      </c>
    </row>
    <row r="4">
      <c r="A4" t="inlineStr">
        <is>
          <t>Межскладская перевозка</t>
        </is>
      </c>
      <c r="B4" t="inlineStr">
        <is>
          <t>10305</t>
        </is>
      </c>
      <c r="C4" t="n">
        <v>426000</v>
      </c>
      <c r="D4" t="n">
        <v>420539</v>
      </c>
      <c r="E4" t="n">
        <v>-5461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87539</v>
      </c>
    </row>
    <row r="5">
      <c r="A5" t="inlineStr">
        <is>
          <t>Склад сырья и материалов</t>
        </is>
      </c>
      <c r="B5" t="inlineStr">
        <is>
          <t>20601</t>
        </is>
      </c>
      <c r="C5" t="n">
        <v>540000</v>
      </c>
      <c r="D5" t="n">
        <v>548369</v>
      </c>
      <c r="E5" t="n">
        <v>8369</v>
      </c>
      <c r="F5">
        <f>I5 + SUM('3. Обновление прогноза'!C5:K5)</f>
        <v/>
      </c>
      <c r="G5">
        <f>F5 - C5</f>
        <v/>
      </c>
      <c r="H5">
        <f>G5 - E5</f>
        <v/>
      </c>
      <c r="I5" t="n">
        <v>130369</v>
      </c>
    </row>
    <row r="6">
      <c r="A6" t="inlineStr">
        <is>
          <t>Обслуживание складского оборудования</t>
        </is>
      </c>
      <c r="B6" t="inlineStr">
        <is>
          <t>20602</t>
        </is>
      </c>
      <c r="C6" t="n">
        <v>210000</v>
      </c>
      <c r="D6" t="n">
        <v>209427</v>
      </c>
      <c r="E6" t="n">
        <v>-573</v>
      </c>
      <c r="F6">
        <f>I6 + SUM('3. Обновление прогноза'!C6:K6)</f>
        <v/>
      </c>
      <c r="G6">
        <f>F6 - C6</f>
        <v/>
      </c>
      <c r="H6">
        <f>G6 - E6</f>
        <v/>
      </c>
      <c r="I6" t="n">
        <v>45427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2026-10-24T06:28:46Z</dcterms:created>
  <dcterms:modified xsi:type="dcterms:W3CDTF">2026-10-24T06:28:46Z</dcterms:modified>
</cp:coreProperties>
</file>