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нструкция" sheetId="1" state="visible" r:id="rId1"/>
    <sheet name="2. Факт vs Прогноз" sheetId="2" state="visible" r:id="rId2"/>
    <sheet name="3. Обновление прогноза" sheetId="3" state="visible" r:id="rId3"/>
    <sheet name="4. Сводка по год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2" borderId="0" applyProtection="1" pivotButton="0" quotePrefix="0" xfId="0">
      <protection locked="0" hidden="0"/>
    </xf>
    <xf numFmtId="0" fontId="0" fillId="3" borderId="0" pivotButton="0" quotePrefix="0" xfId="0"/>
    <xf numFmtId="0" fontId="0" fillId="4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5" customWidth="1" min="2" max="2"/>
  </cols>
  <sheetData>
    <row r="1"/>
    <row r="2">
      <c r="B2" s="1" t="inlineStr">
        <is>
          <t>ИНСТРУКЦИЯ ПО ЗАПОЛНЕНИЮ ОТЧЕТА</t>
        </is>
      </c>
    </row>
    <row r="3"/>
    <row r="4">
      <c r="B4" s="2" t="inlineStr">
        <is>
          <t>Уважаемый руководитель департамента!</t>
        </is>
      </c>
    </row>
    <row r="5">
      <c r="B5" s="2" t="inlineStr"/>
    </row>
    <row r="6">
      <c r="B6" s="2" t="inlineStr">
        <is>
          <t>Вам необходимо заполнить желтые и голубые ячейки на листах 2 и 3.</t>
        </is>
      </c>
    </row>
    <row r="7">
      <c r="B7" s="2" t="inlineStr"/>
    </row>
    <row r="8">
      <c r="B8" s="3" t="inlineStr">
        <is>
          <t>ЛИСТ 2 'ФАКТ VS ПРОГНОЗ':</t>
        </is>
      </c>
    </row>
    <row r="9">
      <c r="B9" s="2" t="inlineStr">
        <is>
          <t>1. Ознакомьтесь с фактом за текущий месяц.</t>
        </is>
      </c>
    </row>
    <row r="10">
      <c r="B10" s="2" t="inlineStr">
        <is>
          <t>2. В крайней правой колонке (голубой фон) напишите причину отклонения факта.</t>
        </is>
      </c>
    </row>
    <row r="11">
      <c r="B11" s="2" t="inlineStr"/>
    </row>
    <row r="12">
      <c r="B12" s="3" t="inlineStr">
        <is>
          <t>ЛИСТ 3 'ОБНОВЛЕНИЕ ПРОГНОЗА':</t>
        </is>
      </c>
    </row>
    <row r="13">
      <c r="B13" s="2" t="inlineStr">
        <is>
          <t>1. Пересмотрите прогноз на будущие месяцы (до конца года).</t>
        </is>
      </c>
    </row>
    <row r="14">
      <c r="B14" s="2" t="inlineStr">
        <is>
          <t>2. Впишите новые суммы в желтые ячейки.</t>
        </is>
      </c>
    </row>
    <row r="15">
      <c r="B15" s="2" t="inlineStr">
        <is>
          <t>3. В крайней правой колонке объясните, почему прогноз изменился.</t>
        </is>
      </c>
    </row>
    <row r="16">
      <c r="B16" s="2" t="inlineStr"/>
    </row>
    <row r="17">
      <c r="B17" s="3" t="inlineStr">
        <is>
          <t>ЛИСТ 4 'СВОДКА ПО ГОДУ':</t>
        </is>
      </c>
    </row>
    <row r="18">
      <c r="B18" s="2" t="inlineStr">
        <is>
          <t>Здесь автоматически формируется годовой итог. Как только вы измените цифры на Листе 3, итоги на Листе 4 пересчитаются автоматически.</t>
        </is>
      </c>
    </row>
    <row r="19">
      <c r="B19" s="2" t="inlineStr"/>
    </row>
    <row r="20">
      <c r="B20" s="2" t="inlineStr">
        <is>
          <t>Обратите внимание: остальные колонки защищены от редактирования.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7" customWidth="1" min="3" max="3"/>
    <col width="14" customWidth="1" min="4" max="4"/>
    <col width="20" customWidth="1" min="5" max="5"/>
    <col width="22" customWidth="1" min="6" max="6"/>
    <col width="23" customWidth="1" min="7" max="7"/>
  </cols>
  <sheetData>
    <row r="1">
      <c r="A1" s="4" t="n"/>
      <c r="B1" s="4" t="n"/>
      <c r="C1" s="4" t="n"/>
      <c r="D1" s="4" t="n"/>
      <c r="E1" s="4" t="n"/>
      <c r="F1" s="4" t="n"/>
      <c r="G1" s="5" t="n"/>
    </row>
    <row r="2">
      <c r="A2" t="inlineStr">
        <is>
          <t>расход</t>
        </is>
      </c>
      <c r="B2" t="inlineStr">
        <is>
          <t>код статьи</t>
        </is>
      </c>
      <c r="C2" t="inlineStr">
        <is>
          <t>Прогноз (март)</t>
        </is>
      </c>
      <c r="D2" t="inlineStr">
        <is>
          <t>Факт (март)</t>
        </is>
      </c>
      <c r="E2" t="inlineStr">
        <is>
          <t>Отклонение (март)</t>
        </is>
      </c>
      <c r="F2" t="inlineStr">
        <is>
          <t>Отклонение % (март)</t>
        </is>
      </c>
      <c r="G2" s="6" t="inlineStr">
        <is>
          <t>Комментарий по факту</t>
        </is>
      </c>
    </row>
    <row r="3">
      <c r="A3" t="inlineStr">
        <is>
          <t>Пожертвования и подарки</t>
        </is>
      </c>
      <c r="B3" t="inlineStr">
        <is>
          <t>20302</t>
        </is>
      </c>
      <c r="C3" t="n">
        <v>5000</v>
      </c>
      <c r="D3" t="n">
        <v>5253</v>
      </c>
      <c r="E3" t="n">
        <v>253</v>
      </c>
      <c r="F3" t="n">
        <v>5.1</v>
      </c>
      <c r="G3" s="6" t="inlineStr"/>
    </row>
    <row r="4">
      <c r="A4" t="inlineStr">
        <is>
          <t>Подписки</t>
        </is>
      </c>
      <c r="B4" t="inlineStr">
        <is>
          <t>20303</t>
        </is>
      </c>
      <c r="C4" t="n">
        <v>3000</v>
      </c>
      <c r="D4" t="n">
        <v>3028</v>
      </c>
      <c r="E4" t="n">
        <v>28</v>
      </c>
      <c r="F4" t="n">
        <v>0.9</v>
      </c>
      <c r="G4" s="6" t="inlineStr"/>
    </row>
    <row r="5">
      <c r="A5" t="inlineStr">
        <is>
          <t>Отраслевые ассоциации</t>
        </is>
      </c>
      <c r="B5" t="inlineStr">
        <is>
          <t>20304</t>
        </is>
      </c>
      <c r="C5" t="n">
        <v>2000</v>
      </c>
      <c r="D5" t="n">
        <v>2138</v>
      </c>
      <c r="E5" t="n">
        <v>138</v>
      </c>
      <c r="F5" t="n">
        <v>6.9</v>
      </c>
      <c r="G5" s="6" t="inlineStr"/>
    </row>
    <row r="6">
      <c r="A6" t="inlineStr">
        <is>
          <t>Членские взносы</t>
        </is>
      </c>
      <c r="B6" t="inlineStr">
        <is>
          <t>20305</t>
        </is>
      </c>
      <c r="C6" t="n">
        <v>4000</v>
      </c>
      <c r="D6" t="n">
        <v>4403</v>
      </c>
      <c r="E6" t="n">
        <v>403</v>
      </c>
      <c r="F6" s="7" t="n">
        <v>10.1</v>
      </c>
      <c r="G6" s="6" t="inlineStr"/>
    </row>
    <row r="7">
      <c r="A7" t="inlineStr">
        <is>
          <t>Услуги перевода</t>
        </is>
      </c>
      <c r="B7" t="inlineStr">
        <is>
          <t>20306</t>
        </is>
      </c>
      <c r="C7" t="n">
        <v>6000</v>
      </c>
      <c r="D7" t="n">
        <v>6577</v>
      </c>
      <c r="E7" t="n">
        <v>577</v>
      </c>
      <c r="F7" t="n">
        <v>9.6</v>
      </c>
      <c r="G7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9" customWidth="1" min="12" max="12"/>
  </cols>
  <sheetData>
    <row r="1">
      <c r="A1" s="4" t="n"/>
      <c r="B1" s="4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t="inlineStr">
        <is>
          <t>расход</t>
        </is>
      </c>
      <c r="B2" t="inlineStr">
        <is>
          <t>код статьи</t>
        </is>
      </c>
      <c r="C2" s="8" t="inlineStr">
        <is>
          <t>апрель</t>
        </is>
      </c>
      <c r="D2" s="8" t="inlineStr">
        <is>
          <t>май</t>
        </is>
      </c>
      <c r="E2" s="8" t="inlineStr">
        <is>
          <t>июнь</t>
        </is>
      </c>
      <c r="F2" s="8" t="inlineStr">
        <is>
          <t>июль</t>
        </is>
      </c>
      <c r="G2" s="8" t="inlineStr">
        <is>
          <t>август</t>
        </is>
      </c>
      <c r="H2" s="8" t="inlineStr">
        <is>
          <t>сентябрь</t>
        </is>
      </c>
      <c r="I2" s="8" t="inlineStr">
        <is>
          <t>октябрь</t>
        </is>
      </c>
      <c r="J2" s="8" t="inlineStr">
        <is>
          <t>ноябрь</t>
        </is>
      </c>
      <c r="K2" s="8" t="inlineStr">
        <is>
          <t>декабрь</t>
        </is>
      </c>
      <c r="L2" s="8" t="inlineStr">
        <is>
          <t>Причина изменения прогноза</t>
        </is>
      </c>
    </row>
    <row r="3">
      <c r="A3" t="inlineStr">
        <is>
          <t>Пожертвования и подарки</t>
        </is>
      </c>
      <c r="B3" t="inlineStr">
        <is>
          <t>20302</t>
        </is>
      </c>
      <c r="C3" s="8" t="n">
        <v>5000</v>
      </c>
      <c r="D3" s="8" t="n">
        <v>5000</v>
      </c>
      <c r="E3" s="8" t="n">
        <v>5000</v>
      </c>
      <c r="F3" s="8" t="n">
        <v>5000</v>
      </c>
      <c r="G3" s="8" t="n">
        <v>5000</v>
      </c>
      <c r="H3" s="8" t="n">
        <v>5000</v>
      </c>
      <c r="I3" s="8" t="n">
        <v>5000</v>
      </c>
      <c r="J3" s="8" t="n">
        <v>5000</v>
      </c>
      <c r="K3" s="8" t="n">
        <v>5000</v>
      </c>
      <c r="L3" s="8" t="inlineStr"/>
    </row>
    <row r="4">
      <c r="A4" t="inlineStr">
        <is>
          <t>Подписки</t>
        </is>
      </c>
      <c r="B4" t="inlineStr">
        <is>
          <t>20303</t>
        </is>
      </c>
      <c r="C4" s="8" t="n">
        <v>3000</v>
      </c>
      <c r="D4" s="8" t="n">
        <v>3000</v>
      </c>
      <c r="E4" s="8" t="n">
        <v>3000</v>
      </c>
      <c r="F4" s="8" t="n">
        <v>3000</v>
      </c>
      <c r="G4" s="8" t="n">
        <v>3000</v>
      </c>
      <c r="H4" s="8" t="n">
        <v>3000</v>
      </c>
      <c r="I4" s="8" t="n">
        <v>3000</v>
      </c>
      <c r="J4" s="8" t="n">
        <v>3000</v>
      </c>
      <c r="K4" s="8" t="n">
        <v>3000</v>
      </c>
      <c r="L4" s="8" t="inlineStr"/>
    </row>
    <row r="5">
      <c r="A5" t="inlineStr">
        <is>
          <t>Отраслевые ассоциации</t>
        </is>
      </c>
      <c r="B5" t="inlineStr">
        <is>
          <t>20304</t>
        </is>
      </c>
      <c r="C5" s="8" t="n">
        <v>2000</v>
      </c>
      <c r="D5" s="8" t="n">
        <v>2000</v>
      </c>
      <c r="E5" s="8" t="n">
        <v>2000</v>
      </c>
      <c r="F5" s="8" t="n">
        <v>2000</v>
      </c>
      <c r="G5" s="8" t="n">
        <v>2000</v>
      </c>
      <c r="H5" s="8" t="n">
        <v>2000</v>
      </c>
      <c r="I5" s="8" t="n">
        <v>2000</v>
      </c>
      <c r="J5" s="8" t="n">
        <v>2000</v>
      </c>
      <c r="K5" s="8" t="n">
        <v>2000</v>
      </c>
      <c r="L5" s="8" t="inlineStr"/>
    </row>
    <row r="6">
      <c r="A6" t="inlineStr">
        <is>
          <t>Членские взносы</t>
        </is>
      </c>
      <c r="B6" t="inlineStr">
        <is>
          <t>20305</t>
        </is>
      </c>
      <c r="C6" s="8" t="n">
        <v>4000</v>
      </c>
      <c r="D6" s="8" t="n">
        <v>4000</v>
      </c>
      <c r="E6" s="8" t="n">
        <v>4000</v>
      </c>
      <c r="F6" s="8" t="n">
        <v>4000</v>
      </c>
      <c r="G6" s="8" t="n">
        <v>4000</v>
      </c>
      <c r="H6" s="8" t="n">
        <v>4000</v>
      </c>
      <c r="I6" s="8" t="n">
        <v>4000</v>
      </c>
      <c r="J6" s="8" t="n">
        <v>4000</v>
      </c>
      <c r="K6" s="8" t="n">
        <v>4000</v>
      </c>
      <c r="L6" s="8" t="inlineStr"/>
    </row>
    <row r="7">
      <c r="A7" t="inlineStr">
        <is>
          <t>Услуги перевода</t>
        </is>
      </c>
      <c r="B7" t="inlineStr">
        <is>
          <t>20306</t>
        </is>
      </c>
      <c r="C7" s="8" t="n">
        <v>6000</v>
      </c>
      <c r="D7" s="8" t="n">
        <v>6000</v>
      </c>
      <c r="E7" s="8" t="n">
        <v>6000</v>
      </c>
      <c r="F7" s="8" t="n">
        <v>6000</v>
      </c>
      <c r="G7" s="8" t="n">
        <v>6000</v>
      </c>
      <c r="H7" s="8" t="n">
        <v>6000</v>
      </c>
      <c r="I7" s="8" t="n">
        <v>6000</v>
      </c>
      <c r="J7" s="8" t="n">
        <v>6000</v>
      </c>
      <c r="K7" s="8" t="n">
        <v>6000</v>
      </c>
      <c r="L7" s="8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26" customWidth="1" min="4" max="4"/>
    <col width="22" customWidth="1" min="5" max="5"/>
    <col width="44" customWidth="1" min="6" max="6"/>
    <col width="21" customWidth="1" min="7" max="7"/>
    <col width="36" customWidth="1" min="8" max="8"/>
    <col hidden="1" width="12" customWidth="1" min="9" max="9"/>
  </cols>
  <sheetData>
    <row r="1">
      <c r="A1" s="9" t="inlineStr">
        <is>
          <t>ИТОГОВАЯ СВОДКА ПО ГОДУ (с формулами)</t>
        </is>
      </c>
    </row>
    <row r="2">
      <c r="A2" s="4" t="inlineStr">
        <is>
          <t>расход</t>
        </is>
      </c>
      <c r="B2" s="4" t="inlineStr">
        <is>
          <t>код статьи</t>
        </is>
      </c>
      <c r="C2" s="4" t="inlineStr">
        <is>
          <t>Бюджет (Год)</t>
        </is>
      </c>
      <c r="D2" s="4" t="inlineStr">
        <is>
          <t>Факт + Прогноз (Старый)</t>
        </is>
      </c>
      <c r="E2" s="4" t="inlineStr">
        <is>
          <t>Отклонение (Старый)</t>
        </is>
      </c>
      <c r="F2" s="4" t="inlineStr">
        <is>
          <t>Факт + Прогноз (Новый)</t>
        </is>
      </c>
      <c r="G2" s="4" t="inlineStr">
        <is>
          <t>Отклонение (Новый)</t>
        </is>
      </c>
      <c r="H2" s="4" t="inlineStr">
        <is>
          <t>Эффект от корректировки (Dif-Dif)</t>
        </is>
      </c>
      <c r="I2" s="4" t="inlineStr">
        <is>
          <t>_Факт</t>
        </is>
      </c>
    </row>
    <row r="3">
      <c r="A3" t="inlineStr">
        <is>
          <t>Пожертвования и подарки</t>
        </is>
      </c>
      <c r="B3" t="inlineStr">
        <is>
          <t>20302</t>
        </is>
      </c>
      <c r="C3" t="n">
        <v>60000</v>
      </c>
      <c r="D3" t="n">
        <v>55384</v>
      </c>
      <c r="E3" t="n">
        <v>-4616</v>
      </c>
      <c r="F3">
        <f>I3 + SUM('3. Обновление прогноза'!C3:K3)</f>
        <v/>
      </c>
      <c r="G3">
        <f>F3 - C3</f>
        <v/>
      </c>
      <c r="H3">
        <f>G3 - E3</f>
        <v/>
      </c>
      <c r="I3" t="n">
        <v>10384</v>
      </c>
    </row>
    <row r="4">
      <c r="A4" t="inlineStr">
        <is>
          <t>Подписки</t>
        </is>
      </c>
      <c r="B4" t="inlineStr">
        <is>
          <t>20303</t>
        </is>
      </c>
      <c r="C4" t="n">
        <v>36000</v>
      </c>
      <c r="D4" t="n">
        <v>32666</v>
      </c>
      <c r="E4" t="n">
        <v>-3334</v>
      </c>
      <c r="F4">
        <f>I4 + SUM('3. Обновление прогноза'!C4:K4)</f>
        <v/>
      </c>
      <c r="G4">
        <f>F4 - C4</f>
        <v/>
      </c>
      <c r="H4">
        <f>G4 - E4</f>
        <v/>
      </c>
      <c r="I4" t="n">
        <v>5666</v>
      </c>
    </row>
    <row r="5">
      <c r="A5" t="inlineStr">
        <is>
          <t>Отраслевые ассоциации</t>
        </is>
      </c>
      <c r="B5" t="inlineStr">
        <is>
          <t>20304</t>
        </is>
      </c>
      <c r="C5" t="n">
        <v>24000</v>
      </c>
      <c r="D5" t="n">
        <v>24429</v>
      </c>
      <c r="E5" t="n">
        <v>429</v>
      </c>
      <c r="F5">
        <f>I5 + SUM('3. Обновление прогноза'!C5:K5)</f>
        <v/>
      </c>
      <c r="G5">
        <f>F5 - C5</f>
        <v/>
      </c>
      <c r="H5">
        <f>G5 - E5</f>
        <v/>
      </c>
      <c r="I5" t="n">
        <v>6429</v>
      </c>
    </row>
    <row r="6">
      <c r="A6" t="inlineStr">
        <is>
          <t>Членские взносы</t>
        </is>
      </c>
      <c r="B6" t="inlineStr">
        <is>
          <t>20305</t>
        </is>
      </c>
      <c r="C6" t="n">
        <v>48000</v>
      </c>
      <c r="D6" t="n">
        <v>48545</v>
      </c>
      <c r="E6" t="n">
        <v>545</v>
      </c>
      <c r="F6">
        <f>I6 + SUM('3. Обновление прогноза'!C6:K6)</f>
        <v/>
      </c>
      <c r="G6">
        <f>F6 - C6</f>
        <v/>
      </c>
      <c r="H6">
        <f>G6 - E6</f>
        <v/>
      </c>
      <c r="I6" t="n">
        <v>12545</v>
      </c>
    </row>
    <row r="7">
      <c r="A7" t="inlineStr">
        <is>
          <t>Услуги перевода</t>
        </is>
      </c>
      <c r="B7" t="inlineStr">
        <is>
          <t>20306</t>
        </is>
      </c>
      <c r="C7" t="n">
        <v>72000</v>
      </c>
      <c r="D7" t="n">
        <v>72318</v>
      </c>
      <c r="E7" t="n">
        <v>318</v>
      </c>
      <c r="F7">
        <f>I7 + SUM('3. Обновление прогноза'!C7:K7)</f>
        <v/>
      </c>
      <c r="G7">
        <f>F7 - C7</f>
        <v/>
      </c>
      <c r="H7">
        <f>G7 - E7</f>
        <v/>
      </c>
      <c r="I7" t="n">
        <v>18318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2026-10-24T06:28:46Z</dcterms:created>
  <dcterms:modified xsi:type="dcterms:W3CDTF">2026-10-24T06:28:46Z</dcterms:modified>
</cp:coreProperties>
</file>